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D\desktop\Desktop\2019\kcb q3\"/>
    </mc:Choice>
  </mc:AlternateContent>
  <bookViews>
    <workbookView xWindow="0" yWindow="0" windowWidth="19176" windowHeight="7032"/>
  </bookViews>
  <sheets>
    <sheet name="DS KCB Q3 2019" sheetId="1" r:id="rId1"/>
  </sheets>
  <definedNames>
    <definedName name="_xlnm._FilterDatabase" localSheetId="0" hidden="1">'DS KCB Q3 2019'!$O$43:$R$86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165" i="1" l="1"/>
  <c r="J165" i="1"/>
  <c r="I165" i="1"/>
  <c r="H165" i="1"/>
  <c r="G165" i="1"/>
  <c r="K164" i="1"/>
  <c r="J164" i="1"/>
  <c r="I164" i="1"/>
  <c r="H164" i="1"/>
  <c r="G164" i="1"/>
  <c r="K163" i="1"/>
  <c r="J163" i="1"/>
  <c r="I163" i="1"/>
  <c r="H163" i="1"/>
  <c r="G163" i="1"/>
  <c r="K162" i="1"/>
  <c r="J162" i="1"/>
  <c r="I162" i="1"/>
  <c r="H162" i="1"/>
  <c r="G162" i="1"/>
  <c r="K161" i="1"/>
  <c r="J161" i="1"/>
  <c r="I161" i="1"/>
  <c r="H161" i="1"/>
  <c r="G161" i="1"/>
  <c r="K160" i="1"/>
  <c r="J160" i="1"/>
  <c r="I160" i="1"/>
  <c r="H160" i="1"/>
  <c r="G160" i="1"/>
  <c r="K159" i="1"/>
  <c r="J159" i="1"/>
  <c r="I159" i="1"/>
  <c r="H159" i="1"/>
  <c r="G159" i="1"/>
  <c r="K158" i="1"/>
  <c r="J158" i="1"/>
  <c r="I158" i="1"/>
  <c r="H158" i="1"/>
  <c r="G158" i="1"/>
  <c r="K157" i="1"/>
  <c r="J157" i="1"/>
  <c r="I157" i="1"/>
  <c r="H157" i="1"/>
  <c r="G157" i="1"/>
  <c r="K156" i="1"/>
  <c r="J156" i="1"/>
  <c r="I156" i="1"/>
  <c r="H156" i="1"/>
  <c r="G156" i="1"/>
  <c r="K155" i="1"/>
  <c r="J155" i="1"/>
  <c r="I155" i="1"/>
  <c r="H155" i="1"/>
  <c r="G155" i="1"/>
  <c r="K154" i="1"/>
  <c r="J154" i="1"/>
  <c r="I154" i="1"/>
  <c r="H154" i="1"/>
  <c r="G154" i="1"/>
  <c r="K153" i="1"/>
  <c r="J153" i="1"/>
  <c r="I153" i="1"/>
  <c r="H153" i="1"/>
  <c r="G153" i="1"/>
  <c r="K152" i="1"/>
  <c r="J152" i="1"/>
  <c r="I152" i="1"/>
  <c r="H152" i="1"/>
  <c r="G152" i="1"/>
  <c r="K151" i="1"/>
  <c r="J151" i="1"/>
  <c r="I151" i="1"/>
  <c r="H151" i="1"/>
  <c r="G151" i="1"/>
  <c r="K150" i="1"/>
  <c r="J150" i="1"/>
  <c r="I150" i="1"/>
  <c r="H150" i="1"/>
  <c r="G150" i="1"/>
  <c r="K149" i="1"/>
  <c r="J149" i="1"/>
  <c r="I149" i="1"/>
  <c r="H149" i="1"/>
  <c r="G149" i="1"/>
  <c r="K148" i="1"/>
  <c r="J148" i="1"/>
  <c r="I148" i="1"/>
  <c r="H148" i="1"/>
  <c r="G148" i="1"/>
  <c r="K146" i="1"/>
  <c r="J146" i="1"/>
  <c r="I146" i="1"/>
  <c r="H146" i="1"/>
  <c r="G146" i="1"/>
  <c r="K145" i="1"/>
  <c r="J145" i="1"/>
  <c r="I145" i="1"/>
  <c r="H145" i="1"/>
  <c r="G145" i="1"/>
  <c r="K144" i="1"/>
  <c r="J144" i="1"/>
  <c r="I144" i="1"/>
  <c r="H144" i="1"/>
  <c r="G144" i="1"/>
  <c r="K143" i="1"/>
  <c r="J143" i="1"/>
  <c r="I143" i="1"/>
  <c r="H143" i="1"/>
  <c r="G143" i="1"/>
  <c r="K142" i="1"/>
  <c r="J142" i="1"/>
  <c r="I142" i="1"/>
  <c r="H142" i="1"/>
  <c r="G142" i="1"/>
  <c r="K141" i="1"/>
  <c r="J141" i="1"/>
  <c r="I141" i="1"/>
  <c r="H141" i="1"/>
  <c r="G141" i="1"/>
  <c r="K140" i="1"/>
  <c r="J140" i="1"/>
  <c r="I140" i="1"/>
  <c r="H140" i="1"/>
  <c r="G140" i="1"/>
  <c r="K139" i="1"/>
  <c r="J139" i="1"/>
  <c r="I139" i="1"/>
  <c r="H139" i="1"/>
  <c r="G139" i="1"/>
  <c r="K138" i="1"/>
  <c r="J138" i="1"/>
  <c r="I138" i="1"/>
  <c r="H138" i="1"/>
  <c r="G138" i="1"/>
  <c r="K137" i="1"/>
  <c r="J137" i="1"/>
  <c r="I137" i="1"/>
  <c r="H137" i="1"/>
  <c r="G137" i="1"/>
  <c r="K136" i="1"/>
  <c r="J136" i="1"/>
  <c r="I136" i="1"/>
  <c r="H136" i="1"/>
  <c r="G136" i="1"/>
  <c r="K135" i="1"/>
  <c r="J135" i="1"/>
  <c r="I135" i="1"/>
  <c r="H135" i="1"/>
  <c r="G135" i="1"/>
  <c r="K134" i="1"/>
  <c r="J134" i="1"/>
  <c r="I134" i="1"/>
  <c r="H134" i="1"/>
  <c r="G134" i="1"/>
  <c r="K133" i="1"/>
  <c r="J133" i="1"/>
  <c r="I133" i="1"/>
  <c r="H133" i="1"/>
  <c r="G133" i="1"/>
  <c r="K132" i="1"/>
  <c r="J132" i="1"/>
  <c r="I132" i="1"/>
  <c r="H132" i="1"/>
  <c r="G132" i="1"/>
  <c r="K131" i="1"/>
  <c r="J131" i="1"/>
  <c r="I131" i="1"/>
  <c r="H131" i="1"/>
  <c r="G131" i="1"/>
  <c r="K130" i="1"/>
  <c r="J130" i="1"/>
  <c r="I130" i="1"/>
  <c r="H130" i="1"/>
  <c r="G130" i="1"/>
  <c r="K129" i="1"/>
  <c r="J129" i="1"/>
  <c r="I129" i="1"/>
  <c r="H129" i="1"/>
  <c r="G129" i="1"/>
  <c r="K128" i="1"/>
  <c r="J128" i="1"/>
  <c r="I128" i="1"/>
  <c r="H128" i="1"/>
  <c r="G128" i="1"/>
  <c r="K127" i="1"/>
  <c r="J127" i="1"/>
  <c r="I127" i="1"/>
  <c r="H127" i="1"/>
  <c r="G127" i="1"/>
  <c r="K126" i="1"/>
  <c r="J126" i="1"/>
  <c r="I126" i="1"/>
  <c r="H126" i="1"/>
  <c r="G126" i="1"/>
  <c r="K125" i="1"/>
  <c r="J125" i="1"/>
  <c r="I125" i="1"/>
  <c r="H125" i="1"/>
  <c r="G125" i="1"/>
  <c r="K124" i="1"/>
  <c r="J124" i="1"/>
  <c r="I124" i="1"/>
  <c r="H124" i="1"/>
  <c r="G124" i="1"/>
  <c r="K123" i="1"/>
  <c r="J123" i="1"/>
  <c r="I123" i="1"/>
  <c r="H123" i="1"/>
  <c r="G123" i="1"/>
  <c r="K122" i="1"/>
  <c r="J122" i="1"/>
  <c r="I122" i="1"/>
  <c r="H122" i="1"/>
  <c r="G122" i="1"/>
  <c r="K121" i="1"/>
  <c r="J121" i="1"/>
  <c r="I121" i="1"/>
  <c r="H121" i="1"/>
  <c r="G121" i="1"/>
  <c r="K120" i="1"/>
  <c r="J120" i="1"/>
  <c r="I120" i="1"/>
  <c r="H120" i="1"/>
  <c r="G120" i="1"/>
  <c r="K119" i="1"/>
  <c r="J119" i="1"/>
  <c r="I119" i="1"/>
  <c r="H119" i="1"/>
  <c r="G119" i="1"/>
  <c r="K118" i="1"/>
  <c r="J118" i="1"/>
  <c r="I118" i="1"/>
  <c r="H118" i="1"/>
  <c r="G118" i="1"/>
  <c r="K117" i="1"/>
  <c r="J117" i="1"/>
  <c r="I117" i="1"/>
  <c r="H117" i="1"/>
  <c r="G117" i="1"/>
  <c r="K116" i="1"/>
  <c r="J116" i="1"/>
  <c r="I116" i="1"/>
  <c r="H116" i="1"/>
  <c r="G116" i="1"/>
  <c r="K115" i="1"/>
  <c r="J115" i="1"/>
  <c r="I115" i="1"/>
  <c r="H115" i="1"/>
  <c r="G115" i="1"/>
  <c r="K114" i="1"/>
  <c r="J114" i="1"/>
  <c r="I114" i="1"/>
  <c r="H114" i="1"/>
  <c r="G114" i="1"/>
  <c r="K113" i="1"/>
  <c r="J113" i="1"/>
  <c r="I113" i="1"/>
  <c r="H113" i="1"/>
  <c r="G113" i="1"/>
  <c r="K112" i="1"/>
  <c r="J112" i="1"/>
  <c r="I112" i="1"/>
  <c r="H112" i="1"/>
  <c r="G112" i="1"/>
  <c r="K111" i="1"/>
  <c r="J111" i="1"/>
  <c r="I111" i="1"/>
  <c r="H111" i="1"/>
  <c r="G111" i="1"/>
  <c r="K110" i="1"/>
  <c r="J110" i="1"/>
  <c r="I110" i="1"/>
  <c r="H110" i="1"/>
  <c r="G110" i="1"/>
  <c r="K109" i="1"/>
  <c r="J109" i="1"/>
  <c r="I109" i="1"/>
  <c r="H109" i="1"/>
  <c r="G109" i="1"/>
  <c r="K108" i="1"/>
  <c r="J108" i="1"/>
  <c r="I108" i="1"/>
  <c r="H108" i="1"/>
  <c r="G108" i="1"/>
  <c r="K107" i="1"/>
  <c r="J107" i="1"/>
  <c r="I107" i="1"/>
  <c r="H107" i="1"/>
  <c r="G107" i="1"/>
  <c r="K106" i="1"/>
  <c r="J106" i="1"/>
  <c r="I106" i="1"/>
  <c r="H106" i="1"/>
  <c r="G106" i="1"/>
  <c r="K105" i="1"/>
  <c r="J105" i="1"/>
  <c r="I105" i="1"/>
  <c r="H105" i="1"/>
  <c r="G105" i="1"/>
  <c r="K104" i="1"/>
  <c r="J104" i="1"/>
  <c r="I104" i="1"/>
  <c r="H104" i="1"/>
  <c r="G104" i="1"/>
  <c r="Q103" i="1"/>
  <c r="R103" i="1" s="1"/>
  <c r="K103" i="1"/>
  <c r="J103" i="1"/>
  <c r="I103" i="1"/>
  <c r="H103" i="1"/>
  <c r="G103" i="1"/>
  <c r="Q102" i="1"/>
  <c r="R102" i="1" s="1"/>
  <c r="K102" i="1"/>
  <c r="J102" i="1"/>
  <c r="I102" i="1"/>
  <c r="H102" i="1"/>
  <c r="G102" i="1"/>
  <c r="R101" i="1"/>
  <c r="Q101" i="1"/>
  <c r="K101" i="1"/>
  <c r="J101" i="1"/>
  <c r="I101" i="1"/>
  <c r="H101" i="1"/>
  <c r="G101" i="1"/>
  <c r="Q100" i="1"/>
  <c r="R100" i="1" s="1"/>
  <c r="K100" i="1"/>
  <c r="J100" i="1"/>
  <c r="I100" i="1"/>
  <c r="H100" i="1"/>
  <c r="G100" i="1"/>
  <c r="Q99" i="1"/>
  <c r="R99" i="1" s="1"/>
  <c r="K99" i="1"/>
  <c r="J99" i="1"/>
  <c r="I99" i="1"/>
  <c r="H99" i="1"/>
  <c r="G99" i="1"/>
  <c r="Q98" i="1"/>
  <c r="R98" i="1" s="1"/>
  <c r="K98" i="1"/>
  <c r="J98" i="1"/>
  <c r="I98" i="1"/>
  <c r="H98" i="1"/>
  <c r="G98" i="1"/>
  <c r="R97" i="1"/>
  <c r="Q97" i="1"/>
  <c r="K97" i="1"/>
  <c r="J97" i="1"/>
  <c r="I97" i="1"/>
  <c r="H97" i="1"/>
  <c r="G97" i="1"/>
  <c r="Q96" i="1"/>
  <c r="R96" i="1" s="1"/>
  <c r="K96" i="1"/>
  <c r="J96" i="1"/>
  <c r="I96" i="1"/>
  <c r="H96" i="1"/>
  <c r="G96" i="1"/>
  <c r="K95" i="1"/>
  <c r="J95" i="1"/>
  <c r="I95" i="1"/>
  <c r="H95" i="1"/>
  <c r="G95" i="1"/>
  <c r="Q86" i="1"/>
  <c r="R86" i="1" s="1"/>
  <c r="K86" i="1"/>
  <c r="J86" i="1"/>
  <c r="I86" i="1"/>
  <c r="H86" i="1"/>
  <c r="G86" i="1"/>
  <c r="Q85" i="1"/>
  <c r="R85" i="1" s="1"/>
  <c r="K85" i="1"/>
  <c r="J85" i="1"/>
  <c r="I85" i="1"/>
  <c r="H85" i="1"/>
  <c r="G85" i="1"/>
  <c r="Q84" i="1"/>
  <c r="R84" i="1" s="1"/>
  <c r="K84" i="1"/>
  <c r="J84" i="1"/>
  <c r="I84" i="1"/>
  <c r="H84" i="1"/>
  <c r="G84" i="1"/>
  <c r="R83" i="1"/>
  <c r="Q83" i="1"/>
  <c r="K83" i="1"/>
  <c r="J83" i="1"/>
  <c r="I83" i="1"/>
  <c r="H83" i="1"/>
  <c r="G83" i="1"/>
  <c r="Q82" i="1"/>
  <c r="R82" i="1" s="1"/>
  <c r="K82" i="1"/>
  <c r="J82" i="1"/>
  <c r="I82" i="1"/>
  <c r="H82" i="1"/>
  <c r="G82" i="1"/>
  <c r="Q81" i="1"/>
  <c r="R81" i="1" s="1"/>
  <c r="K81" i="1"/>
  <c r="J81" i="1"/>
  <c r="I81" i="1"/>
  <c r="H81" i="1"/>
  <c r="G81" i="1"/>
  <c r="Q80" i="1"/>
  <c r="R80" i="1" s="1"/>
  <c r="K80" i="1"/>
  <c r="J80" i="1"/>
  <c r="I80" i="1"/>
  <c r="H80" i="1"/>
  <c r="G80" i="1"/>
  <c r="R79" i="1"/>
  <c r="Q79" i="1"/>
  <c r="K79" i="1"/>
  <c r="J79" i="1"/>
  <c r="I79" i="1"/>
  <c r="H79" i="1"/>
  <c r="G79" i="1"/>
  <c r="Q78" i="1"/>
  <c r="R78" i="1" s="1"/>
  <c r="K78" i="1"/>
  <c r="J78" i="1"/>
  <c r="I78" i="1"/>
  <c r="H78" i="1"/>
  <c r="G78" i="1"/>
  <c r="Q77" i="1"/>
  <c r="R77" i="1" s="1"/>
  <c r="K77" i="1"/>
  <c r="J77" i="1"/>
  <c r="I77" i="1"/>
  <c r="H77" i="1"/>
  <c r="G77" i="1"/>
  <c r="Q76" i="1"/>
  <c r="R76" i="1" s="1"/>
  <c r="K76" i="1"/>
  <c r="J76" i="1"/>
  <c r="I76" i="1"/>
  <c r="H76" i="1"/>
  <c r="G76" i="1"/>
  <c r="R75" i="1"/>
  <c r="Q75" i="1"/>
  <c r="K75" i="1"/>
  <c r="J75" i="1"/>
  <c r="I75" i="1"/>
  <c r="H75" i="1"/>
  <c r="G75" i="1"/>
  <c r="Q74" i="1"/>
  <c r="R74" i="1" s="1"/>
  <c r="K74" i="1"/>
  <c r="J74" i="1"/>
  <c r="I74" i="1"/>
  <c r="H74" i="1"/>
  <c r="G74" i="1"/>
  <c r="Q72" i="1"/>
  <c r="R72" i="1" s="1"/>
  <c r="K72" i="1"/>
  <c r="J72" i="1"/>
  <c r="I72" i="1"/>
  <c r="H72" i="1"/>
  <c r="G72" i="1"/>
  <c r="Q71" i="1"/>
  <c r="R71" i="1" s="1"/>
  <c r="K71" i="1"/>
  <c r="J71" i="1"/>
  <c r="I71" i="1"/>
  <c r="H71" i="1"/>
  <c r="G71" i="1"/>
  <c r="R70" i="1"/>
  <c r="Q70" i="1"/>
  <c r="K70" i="1"/>
  <c r="J70" i="1"/>
  <c r="I70" i="1"/>
  <c r="H70" i="1"/>
  <c r="G70" i="1"/>
  <c r="Q69" i="1"/>
  <c r="R69" i="1" s="1"/>
  <c r="K69" i="1"/>
  <c r="J69" i="1"/>
  <c r="I69" i="1"/>
  <c r="H69" i="1"/>
  <c r="G69" i="1"/>
  <c r="Q68" i="1"/>
  <c r="R68" i="1" s="1"/>
  <c r="K68" i="1"/>
  <c r="J68" i="1"/>
  <c r="I68" i="1"/>
  <c r="H68" i="1"/>
  <c r="G68" i="1"/>
  <c r="Q67" i="1"/>
  <c r="R67" i="1" s="1"/>
  <c r="K67" i="1"/>
  <c r="J67" i="1"/>
  <c r="I67" i="1"/>
  <c r="H67" i="1"/>
  <c r="G67" i="1"/>
  <c r="R66" i="1"/>
  <c r="Q66" i="1"/>
  <c r="K66" i="1"/>
  <c r="J66" i="1"/>
  <c r="I66" i="1"/>
  <c r="H66" i="1"/>
  <c r="G66" i="1"/>
  <c r="Q65" i="1"/>
  <c r="R65" i="1" s="1"/>
  <c r="K65" i="1"/>
  <c r="J65" i="1"/>
  <c r="I65" i="1"/>
  <c r="H65" i="1"/>
  <c r="G65" i="1"/>
  <c r="Q64" i="1"/>
  <c r="R64" i="1" s="1"/>
  <c r="K64" i="1"/>
  <c r="J64" i="1"/>
  <c r="I64" i="1"/>
  <c r="H64" i="1"/>
  <c r="G64" i="1"/>
  <c r="Q63" i="1"/>
  <c r="R63" i="1" s="1"/>
  <c r="K63" i="1"/>
  <c r="J63" i="1"/>
  <c r="I63" i="1"/>
  <c r="H63" i="1"/>
  <c r="G63" i="1"/>
  <c r="R62" i="1"/>
  <c r="Q62" i="1"/>
  <c r="K62" i="1"/>
  <c r="J62" i="1"/>
  <c r="I62" i="1"/>
  <c r="H62" i="1"/>
  <c r="G62" i="1"/>
  <c r="Q61" i="1"/>
  <c r="R61" i="1" s="1"/>
  <c r="O61" i="1"/>
  <c r="K61" i="1"/>
  <c r="J61" i="1"/>
  <c r="I61" i="1"/>
  <c r="H61" i="1"/>
  <c r="G61" i="1"/>
  <c r="Q60" i="1"/>
  <c r="R60" i="1" s="1"/>
  <c r="K60" i="1"/>
  <c r="J60" i="1"/>
  <c r="I60" i="1"/>
  <c r="H60" i="1"/>
  <c r="G60" i="1"/>
  <c r="Q59" i="1"/>
  <c r="R59" i="1" s="1"/>
  <c r="K59" i="1"/>
  <c r="J59" i="1"/>
  <c r="I59" i="1"/>
  <c r="H59" i="1"/>
  <c r="G59" i="1"/>
  <c r="Q58" i="1"/>
  <c r="R58" i="1" s="1"/>
  <c r="K58" i="1"/>
  <c r="J58" i="1"/>
  <c r="I58" i="1"/>
  <c r="H58" i="1"/>
  <c r="G58" i="1"/>
  <c r="R57" i="1"/>
  <c r="Q57" i="1"/>
  <c r="K57" i="1"/>
  <c r="J57" i="1"/>
  <c r="I57" i="1"/>
  <c r="H57" i="1"/>
  <c r="G57" i="1"/>
  <c r="Q56" i="1"/>
  <c r="R56" i="1" s="1"/>
  <c r="K56" i="1"/>
  <c r="J56" i="1"/>
  <c r="I56" i="1"/>
  <c r="H56" i="1"/>
  <c r="G56" i="1"/>
  <c r="Q55" i="1"/>
  <c r="R55" i="1" s="1"/>
  <c r="K55" i="1"/>
  <c r="J55" i="1"/>
  <c r="I55" i="1"/>
  <c r="H55" i="1"/>
  <c r="G55" i="1"/>
  <c r="Q54" i="1"/>
  <c r="R54" i="1" s="1"/>
  <c r="O54" i="1"/>
  <c r="K54" i="1"/>
  <c r="J54" i="1"/>
  <c r="I54" i="1"/>
  <c r="H54" i="1"/>
  <c r="G54" i="1"/>
  <c r="Q53" i="1"/>
  <c r="R53" i="1" s="1"/>
  <c r="K53" i="1"/>
  <c r="J53" i="1"/>
  <c r="I53" i="1"/>
  <c r="H53" i="1"/>
  <c r="G53" i="1"/>
  <c r="R52" i="1"/>
  <c r="Q52" i="1"/>
  <c r="K52" i="1"/>
  <c r="J52" i="1"/>
  <c r="I52" i="1"/>
  <c r="H52" i="1"/>
  <c r="G52" i="1"/>
  <c r="Q51" i="1"/>
  <c r="R51" i="1" s="1"/>
  <c r="K51" i="1"/>
  <c r="J51" i="1"/>
  <c r="I51" i="1"/>
  <c r="H51" i="1"/>
  <c r="G51" i="1"/>
  <c r="Q50" i="1"/>
  <c r="R50" i="1" s="1"/>
  <c r="K50" i="1"/>
  <c r="J50" i="1"/>
  <c r="I50" i="1"/>
  <c r="H50" i="1"/>
  <c r="G50" i="1"/>
  <c r="Q49" i="1"/>
  <c r="R49" i="1" s="1"/>
  <c r="K49" i="1"/>
  <c r="J49" i="1"/>
  <c r="I49" i="1"/>
  <c r="H49" i="1"/>
  <c r="G49" i="1"/>
  <c r="R48" i="1"/>
  <c r="Q48" i="1"/>
  <c r="K48" i="1"/>
  <c r="J48" i="1"/>
  <c r="I48" i="1"/>
  <c r="H48" i="1"/>
  <c r="G48" i="1"/>
  <c r="Q47" i="1"/>
  <c r="R47" i="1" s="1"/>
  <c r="K47" i="1"/>
  <c r="J47" i="1"/>
  <c r="I47" i="1"/>
  <c r="H47" i="1"/>
  <c r="G47" i="1"/>
  <c r="Q46" i="1"/>
  <c r="R46" i="1" s="1"/>
  <c r="K46" i="1"/>
  <c r="J46" i="1"/>
  <c r="I46" i="1"/>
  <c r="H46" i="1"/>
  <c r="G46" i="1"/>
  <c r="Q45" i="1"/>
  <c r="R45" i="1" s="1"/>
  <c r="K45" i="1"/>
  <c r="J45" i="1"/>
  <c r="I45" i="1"/>
  <c r="H45" i="1"/>
  <c r="G45" i="1"/>
  <c r="R40" i="1"/>
  <c r="Q40" i="1"/>
  <c r="K40" i="1"/>
  <c r="J40" i="1"/>
  <c r="I40" i="1"/>
  <c r="H40" i="1"/>
  <c r="G40" i="1"/>
  <c r="Q39" i="1"/>
  <c r="R39" i="1" s="1"/>
  <c r="K39" i="1"/>
  <c r="J39" i="1"/>
  <c r="I39" i="1"/>
  <c r="H39" i="1"/>
  <c r="G39" i="1"/>
  <c r="Q38" i="1"/>
  <c r="R38" i="1" s="1"/>
  <c r="K38" i="1"/>
  <c r="J38" i="1"/>
  <c r="I38" i="1"/>
  <c r="H38" i="1"/>
  <c r="G38" i="1"/>
  <c r="Q37" i="1"/>
  <c r="R37" i="1" s="1"/>
  <c r="K37" i="1"/>
  <c r="J37" i="1"/>
  <c r="I37" i="1"/>
  <c r="H37" i="1"/>
  <c r="G37" i="1"/>
  <c r="R31" i="1"/>
  <c r="Q31" i="1"/>
  <c r="K31" i="1"/>
  <c r="J31" i="1"/>
  <c r="I31" i="1"/>
  <c r="H31" i="1"/>
  <c r="G31" i="1"/>
  <c r="Q30" i="1"/>
  <c r="R30" i="1" s="1"/>
  <c r="K30" i="1"/>
  <c r="J30" i="1"/>
  <c r="I30" i="1"/>
  <c r="H30" i="1"/>
  <c r="G30" i="1"/>
  <c r="Q29" i="1"/>
  <c r="R29" i="1" s="1"/>
  <c r="K29" i="1"/>
  <c r="J29" i="1"/>
  <c r="I29" i="1"/>
  <c r="H29" i="1"/>
  <c r="G29" i="1"/>
  <c r="Q28" i="1"/>
  <c r="R28" i="1" s="1"/>
  <c r="K28" i="1"/>
  <c r="J28" i="1"/>
  <c r="I28" i="1"/>
  <c r="H28" i="1"/>
  <c r="G28" i="1"/>
  <c r="R27" i="1"/>
  <c r="Q27" i="1"/>
  <c r="K27" i="1"/>
  <c r="J27" i="1"/>
  <c r="I27" i="1"/>
  <c r="H27" i="1"/>
  <c r="G27" i="1"/>
  <c r="Q26" i="1"/>
  <c r="R26" i="1" s="1"/>
  <c r="K26" i="1"/>
  <c r="J26" i="1"/>
  <c r="I26" i="1"/>
  <c r="H26" i="1"/>
  <c r="G26" i="1"/>
  <c r="Q25" i="1"/>
  <c r="R25" i="1" s="1"/>
  <c r="K25" i="1"/>
  <c r="J25" i="1"/>
  <c r="I25" i="1"/>
  <c r="H25" i="1"/>
  <c r="G25" i="1"/>
  <c r="Q24" i="1"/>
  <c r="R24" i="1" s="1"/>
  <c r="K24" i="1"/>
  <c r="J24" i="1"/>
  <c r="I24" i="1"/>
  <c r="H24" i="1"/>
  <c r="G24" i="1"/>
  <c r="R23" i="1"/>
  <c r="Q23" i="1"/>
  <c r="K23" i="1"/>
  <c r="J23" i="1"/>
  <c r="I23" i="1"/>
  <c r="H23" i="1"/>
  <c r="G23" i="1"/>
  <c r="Q22" i="1"/>
  <c r="R22" i="1" s="1"/>
  <c r="K22" i="1"/>
  <c r="J22" i="1"/>
  <c r="I22" i="1"/>
  <c r="H22" i="1"/>
  <c r="G22" i="1"/>
  <c r="Q21" i="1"/>
  <c r="R21" i="1" s="1"/>
  <c r="K21" i="1"/>
  <c r="J21" i="1"/>
  <c r="I21" i="1"/>
  <c r="H21" i="1"/>
  <c r="G21" i="1"/>
  <c r="Q20" i="1"/>
  <c r="R20" i="1" s="1"/>
  <c r="K20" i="1"/>
  <c r="J20" i="1"/>
  <c r="I20" i="1"/>
  <c r="H20" i="1"/>
  <c r="G20" i="1"/>
  <c r="Q19" i="1"/>
  <c r="K19" i="1"/>
  <c r="J19" i="1"/>
  <c r="I19" i="1"/>
  <c r="H19" i="1"/>
  <c r="G19" i="1"/>
  <c r="Q18" i="1"/>
  <c r="R18" i="1" s="1"/>
  <c r="K18" i="1"/>
  <c r="J18" i="1"/>
  <c r="I18" i="1"/>
  <c r="H18" i="1"/>
  <c r="G18" i="1"/>
  <c r="J13" i="1"/>
  <c r="I13" i="1"/>
  <c r="H13" i="1"/>
  <c r="G13" i="1"/>
  <c r="J12" i="1"/>
  <c r="I12" i="1"/>
  <c r="H12" i="1"/>
  <c r="G12" i="1"/>
  <c r="J11" i="1"/>
  <c r="I11" i="1"/>
  <c r="H11" i="1"/>
  <c r="G11" i="1"/>
</calcChain>
</file>

<file path=xl/sharedStrings.xml><?xml version="1.0" encoding="utf-8"?>
<sst xmlns="http://schemas.openxmlformats.org/spreadsheetml/2006/main" count="1102" uniqueCount="636">
  <si>
    <t>BẢO HIỂM XÃ HỘI VIỆT NAM</t>
  </si>
  <si>
    <t xml:space="preserve">BẢO HIỂM XÃ HỘI THÀNH PHỐ HỒ CHÍ MINH </t>
  </si>
  <si>
    <t>DANH SÁCH CÁC CƠ SỞ KCB BHYT NHẬN ĐĂNG KÝ KCB BAN ĐẦU PHÂN THEO CƠ CẤU NHÓM ĐỐI TƯỢNG</t>
  </si>
  <si>
    <t>QUÝ III - NĂM 2019</t>
  </si>
  <si>
    <t>(Đính kèm công văn số /TB-BHXH ngày  tháng 05 năm 2019)</t>
  </si>
  <si>
    <t>I</t>
  </si>
  <si>
    <t>Các cơ sở KCB công lập tuyến Trung ương</t>
  </si>
  <si>
    <t xml:space="preserve"> STT </t>
  </si>
  <si>
    <t xml:space="preserve"> TÊN CƠ SỞ KCB</t>
  </si>
  <si>
    <t>MÃ KCB</t>
  </si>
  <si>
    <t>Địa chỉ</t>
  </si>
  <si>
    <t>Đăng ký KCB 
Ban Đầu</t>
  </si>
  <si>
    <t>GHI CHÚ</t>
  </si>
  <si>
    <t>CHỈ TIÊU TỪNG NHÓM</t>
  </si>
  <si>
    <t>chỉ tiêu SYT năm 2019</t>
  </si>
  <si>
    <t>số thẻ hiện có</t>
  </si>
  <si>
    <t>SỐ THẺ
 NHÓM 5 
HIỆN CÓ</t>
  </si>
  <si>
    <t>CHÊNH 
LỆCH</t>
  </si>
  <si>
    <t>Nhóm 1</t>
  </si>
  <si>
    <t>Nhóm 2</t>
  </si>
  <si>
    <t>Nhóm 3</t>
  </si>
  <si>
    <t>Nhóm 4</t>
  </si>
  <si>
    <t>Nhóm 5</t>
  </si>
  <si>
    <t>chỉ tiêu</t>
  </si>
  <si>
    <t xml:space="preserve"> Bệnh viện Thống Nhất  </t>
  </si>
  <si>
    <t>79025</t>
  </si>
  <si>
    <t>01 Lý Thường Kiệt – Phường 7 - Quận Tân Bình</t>
  </si>
  <si>
    <t xml:space="preserve">
- Không nhận tăng mới, gia hạn và đổi nơi khám chữa bệnh của người tham gia thuộc đối tượng Hộ gia đình (mã đối tượng GD).
- Được đăng ký KCB các nhóm đối tượng còn lại.</t>
  </si>
  <si>
    <t>- Không nhận dưới 15 tuổi
 - KCB Thứ 2 đến Chủ Nhật: 7 giờ đến 16h</t>
  </si>
  <si>
    <t xml:space="preserve">Không </t>
  </si>
  <si>
    <t>Không</t>
  </si>
  <si>
    <t>- Không nhận dưới 15 tuổi
- KCB giờ hành chính</t>
  </si>
  <si>
    <t xml:space="preserve"> Bệnh viện 30/4  </t>
  </si>
  <si>
    <t>79011</t>
  </si>
  <si>
    <t>09 Sư Vạn Hạnh – P. 9- Q.5</t>
  </si>
  <si>
    <t>- Được đăng ký KCB tất cả các nhóm
 đối tượng</t>
  </si>
  <si>
    <t>- KCB giờ hành chính.</t>
  </si>
  <si>
    <t xml:space="preserve">- KCB giờ hành chính.
</t>
  </si>
  <si>
    <t xml:space="preserve"> Bệnh viện 175  </t>
  </si>
  <si>
    <t>79034</t>
  </si>
  <si>
    <t>786 Nguyễn Kiệm- P. 3- Q. Gò vấp</t>
  </si>
  <si>
    <t>- KCB Thứ 2 đến thứ 6: 7 giờ đến 20 giờ.
'- KCB Thứ 7: 6 giờ 30 đến 17 giờ.</t>
  </si>
  <si>
    <t>- KCB Thứ 2 đến Thứ 7: 7 giờ đến 16 giờ</t>
  </si>
  <si>
    <t>II</t>
  </si>
  <si>
    <t>Các cơ sở KCB công lập tuyến tỉnh</t>
  </si>
  <si>
    <t>Nhóm 5
(không tính hệ số điều chỉnh 20%)</t>
  </si>
  <si>
    <t>Nhóm 5 giảm 5% so với chỉ tiêu</t>
  </si>
  <si>
    <t>1</t>
  </si>
  <si>
    <t xml:space="preserve"> Bệnh viện đa khoa Bưu Điện - Cơ Sở I </t>
  </si>
  <si>
    <t>79023</t>
  </si>
  <si>
    <t>Lô B - đường Thành Thái - P.15 - Quận 10</t>
  </si>
  <si>
    <t>2</t>
  </si>
  <si>
    <t xml:space="preserve"> Bệnh viện đa khoa Bưu Điện - Cơ Sở II </t>
  </si>
  <si>
    <t>79044</t>
  </si>
  <si>
    <t xml:space="preserve"> 68 Nguyễn Duy Hiệu – P.Thảo Điền - Quận 2 </t>
  </si>
  <si>
    <t>Được Đk</t>
  </si>
  <si>
    <t>3</t>
  </si>
  <si>
    <t xml:space="preserve">Bệnh viện Nguyễn Trãi </t>
  </si>
  <si>
    <t>79014</t>
  </si>
  <si>
    <t>314 Nguyễn Trãi – Phường 8 – Quận 5</t>
  </si>
  <si>
    <t xml:space="preserve">
- Không nhận tăng mới và đổi nơi khám chữa bệnh của người tham gia thuộc đối tượng Hộ gia đình (mã đối tượng GD).
- Được đăng ký KCB các nhóm đối tượng còn lại.</t>
  </si>
  <si>
    <t>4</t>
  </si>
  <si>
    <t xml:space="preserve">Bệnh viện Nguyễn Tri Phương </t>
  </si>
  <si>
    <t>79013</t>
  </si>
  <si>
    <t>468 Nguyễn Trãi – Phường 8 – Quận 5</t>
  </si>
  <si>
    <t>- Được gia hạn thẻ cũ
- Không nhận tăng mới và đổi nơi KCB của tất cả các nhóm đối tượng.</t>
  </si>
  <si>
    <t>5</t>
  </si>
  <si>
    <t xml:space="preserve">Bệnh viện Nhân dân Gia Định </t>
  </si>
  <si>
    <t>79030</t>
  </si>
  <si>
    <t>01 Nơ Trang Long – Phường 7 – Q.Bình Thạnh</t>
  </si>
  <si>
    <t xml:space="preserve">
- Không nhận tăng mới  và đổi nơi khám chữa bệnh của người tham gia thuộc đối tượng Hộ gia đình (mã đối tượng GD).
- Được đăng ký KCB các nhóm đối tượng còn lại.</t>
  </si>
  <si>
    <t>6</t>
  </si>
  <si>
    <t xml:space="preserve">Bệnh viện nhân dân 115 </t>
  </si>
  <si>
    <t>79024</t>
  </si>
  <si>
    <t>527 Sư Vạn Hạnh  – Phường 12 – Quận 10</t>
  </si>
  <si>
    <t>7</t>
  </si>
  <si>
    <t xml:space="preserve">Bệnh viện Trưng Vương </t>
  </si>
  <si>
    <t>79026</t>
  </si>
  <si>
    <t>266 Lý Thường Kiệt – Phường 14 – Quận 10</t>
  </si>
  <si>
    <t xml:space="preserve">- Không nhận dưới 15 tuổi
- KCB Thứ 2 đến Thứ 6 (Sáng 7-11 giờ 30, Chiều 13-16 giờ 30) và Sáng Thứ bảy (7-12 giờ) </t>
  </si>
  <si>
    <t>- Không nhận dưới 15 tuổi
- KCB Thứ 2 đến Thứ 6: 7 giờ đến 16 giờ 30 và Sáng Chủ Nhật</t>
  </si>
  <si>
    <t>8</t>
  </si>
  <si>
    <t xml:space="preserve">Bệnh viện An Bình </t>
  </si>
  <si>
    <t>79012</t>
  </si>
  <si>
    <t>146 An Bình – Phường 7 – Quận 5</t>
  </si>
  <si>
    <t>- KCB Thứ 2 đến Thứ 7: 7 giờ đến 16 giờ 30</t>
  </si>
  <si>
    <t>- KCB giờ hành chính</t>
  </si>
  <si>
    <t>9</t>
  </si>
  <si>
    <t xml:space="preserve">Bệnh viện đa khoa Sài Gòn </t>
  </si>
  <si>
    <t>79001</t>
  </si>
  <si>
    <t>125 Lê Lợi – Phường Bến Thành – Quận 1</t>
  </si>
  <si>
    <t>10</t>
  </si>
  <si>
    <t>BV Điều dưỡng PHCN ĐT bệnh Nghề Nghiệp</t>
  </si>
  <si>
    <t>79020</t>
  </si>
  <si>
    <t>125/61 Âu Dương Lân – Phường 2 – Quận 8</t>
  </si>
  <si>
    <t>- Không nhận  dưới 15 tuổi
- KCB giờ hành chính</t>
  </si>
  <si>
    <t>11</t>
  </si>
  <si>
    <t>Viện Y dược học dân tộc</t>
  </si>
  <si>
    <t>79426</t>
  </si>
  <si>
    <t>273 Nguyễn Văn Trỗi - P. 10 - Quận Phú Nhuận</t>
  </si>
  <si>
    <t>- KCB Thứ 2 đến Thứ 6: 6 giờ 30 đến 19 giờ và thứ Bảy, Chủ Nhật: Từ 7 giờ 30 đến 11 giờ 30</t>
  </si>
  <si>
    <t>12</t>
  </si>
  <si>
    <t xml:space="preserve">Bệnh viện 7A </t>
  </si>
  <si>
    <t>79016</t>
  </si>
  <si>
    <t>466 Nguyễn Trãi – Phường 8 – Quận 5</t>
  </si>
  <si>
    <t>- Không nhận  dưới 15 tuổi
'- KCB Thứ 2 đến Thứ 7: 6 giờ 30 đến 16 giờ 30</t>
  </si>
  <si>
    <t>13</t>
  </si>
  <si>
    <t>BV Chỉnh Hình Và Phục Hồi Chức Năng TP.HCM</t>
  </si>
  <si>
    <t>79461</t>
  </si>
  <si>
    <t>1A Lý Thường Kiệt, P.7, Q. Tân Bình</t>
  </si>
  <si>
    <t>- KCB Thứ 2 đến Thứ 6:Giờ hành chánh, sáng thứ 7.</t>
  </si>
  <si>
    <t>- KCB Thứ 2 đến Thứ 6:Giờ hành chánh.</t>
  </si>
  <si>
    <t>14</t>
  </si>
  <si>
    <t>Bệnh Viện Nhi đồng thành phố</t>
  </si>
  <si>
    <t>79532</t>
  </si>
  <si>
    <t>15 đường Cao Tốc - Trung Lương, ấp 1 - xã Tân Kiên - huyện Bình Chánh</t>
  </si>
  <si>
    <t>- KCB Thứ 2 đến Thứ 7: 7 giờ 30 đến 16 giờ 30.</t>
  </si>
  <si>
    <t>-Nhận KCB ban đầu cho trẻ em dưới 16 tuổi
KCB Thứ 2 đến Thứ 6:Giờ hành chánh.</t>
  </si>
  <si>
    <t>III</t>
  </si>
  <si>
    <t>Các cơ sở KCB tư nhân tương đương tuyến tỉnh</t>
  </si>
  <si>
    <t>Chỉ tiêu được đăng ký nhóm 1</t>
  </si>
  <si>
    <t>Chỉ tiêu được đăng ký nhóm 2</t>
  </si>
  <si>
    <t>Chỉ tiêu được đăng ký nhóm 3</t>
  </si>
  <si>
    <t>Chỉ tiêu được đăng ký nhóm 4</t>
  </si>
  <si>
    <t>Chỉ tiêu được đăng ký nhóm 5</t>
  </si>
  <si>
    <t xml:space="preserve">Bệnh viện đa khoa Vạn Hạnh </t>
  </si>
  <si>
    <t>79462</t>
  </si>
  <si>
    <t>700 Sư Vạn Hạnh (nối dài)  - P 12 – Quận 10</t>
  </si>
  <si>
    <t>- Không nhận dưới 15 tuổi
- KCB Thứ 2 đến Thứ 7: 7 giờ đến 16 giờ 30 và Sáng Chủ Nhật.</t>
  </si>
  <si>
    <t>Bệnh viện đa khoa Hồng Đức - Chi nhánh III</t>
  </si>
  <si>
    <t>79463</t>
  </si>
  <si>
    <t>32/2 Thống Nhất - Phường 10 - Quận Gò Vấp</t>
  </si>
  <si>
    <t>- KCB Thứ 2 đến CN: 7 giờ đến 21 giờ</t>
  </si>
  <si>
    <t>Bệnh viện đa khoa Hoàn Mỹ Sài Gòn</t>
  </si>
  <si>
    <t>79071</t>
  </si>
  <si>
    <t>60 – 60 A Phan Xích Long – Phường 1 – Quận Phú Nhuận</t>
  </si>
  <si>
    <t>- KCB Thứ 2 đến Thứ 7: 6 giờ đến 19 giờ và Sáng Chủ Nhật.</t>
  </si>
  <si>
    <t>Bệnh viện đa khoa quốc tế Vinmec Central Park</t>
  </si>
  <si>
    <t>79525</t>
  </si>
  <si>
    <t>720A Điện Biên Phủ - P22 - Quận Bình Thạnh</t>
  </si>
  <si>
    <t>- KCB Thứ 2 đến Thứ 6 :8 giờ đến 17 giờ  và sáng Thứ 7: 8 giờ đến 12 giờ.</t>
  </si>
  <si>
    <t>IV</t>
  </si>
  <si>
    <t>Các cơ sở KCB công lập tuyến quận, huyện</t>
  </si>
  <si>
    <t xml:space="preserve">Bệnh viện Quân Dân Miền Đông </t>
  </si>
  <si>
    <t>79057</t>
  </si>
  <si>
    <t>50 Lê Văn Việt – Phường Hiệp Phú - Quận 9</t>
  </si>
  <si>
    <t>- Khám chữa bệnh 24/24</t>
  </si>
  <si>
    <t xml:space="preserve">Bệnh viện Giao thông Vận tải TP HCM </t>
  </si>
  <si>
    <t>79076</t>
  </si>
  <si>
    <t>72/3 Trần Quốc Toản - p8 - Quận 3</t>
  </si>
  <si>
    <t xml:space="preserve">Bệnh viện đa khoa khu vực Thủ Đức </t>
  </si>
  <si>
    <t>79036</t>
  </si>
  <si>
    <t>64 Lê Văn Chí – KP 1- Linh Trung – Quận Thủ Đức</t>
  </si>
  <si>
    <t>- KCB Thứ 2 đến CN: 7giờ 15 đến 20 giờ</t>
  </si>
  <si>
    <t xml:space="preserve">Bệnh viện đa khoa khu vực Củ Chi </t>
  </si>
  <si>
    <t>79040</t>
  </si>
  <si>
    <t>Quốc lộ 22 – đường Nguyễn Văn Hoài - Ấp Bầu Tre 2 – Xã An Hội - Huyện Củ Chi</t>
  </si>
  <si>
    <t>- KCB Thứ 2 đến CN: 6 giờ đến 20 giờ 30</t>
  </si>
  <si>
    <t>Bệnh viện đa khoa khu vực Hóc Môn</t>
  </si>
  <si>
    <t>79041</t>
  </si>
  <si>
    <t>65/2B Bà Triệu – TT Hóc Môn – Huyện Hóc Môn</t>
  </si>
  <si>
    <t>PKđa khoa trực thuộc TTYT ngành Cao su VN</t>
  </si>
  <si>
    <t>79049</t>
  </si>
  <si>
    <t>410 Trường Chinh - Phường 13 - Quận Tân Bình</t>
  </si>
  <si>
    <t>Trung tâm y tế Tân Cảng/ Tổng công ty Tân Cảng Sài gòn/ Quân chủng Hải Quân</t>
  </si>
  <si>
    <t>79419</t>
  </si>
  <si>
    <t>1295B Nguyễn Thị Định- p Cát Lái- Quận 2</t>
  </si>
  <si>
    <t xml:space="preserve">Bệnh viện Quận Thủ Đức  </t>
  </si>
  <si>
    <t>79037</t>
  </si>
  <si>
    <t>29 Phú Châu – P. Tam Bình – Quận Thủ Đức</t>
  </si>
  <si>
    <t>- Thứ 2 đến CN: 6 giờ đến 21 giờ 30</t>
  </si>
  <si>
    <t>Bệnh viện Quận 1 -Cơ sở I</t>
  </si>
  <si>
    <t>79051</t>
  </si>
  <si>
    <t>338 Hai Bà Trưng – Phường Tân Định – Quận 1</t>
  </si>
  <si>
    <t>Từ Thứ 2 đến Thứ 6: 7 giờ 30 đến 19 giờ
Sáng Thứ 7</t>
  </si>
  <si>
    <t>Bệnh viện Quận 1 - Cơ sở II</t>
  </si>
  <si>
    <t>79004</t>
  </si>
  <si>
    <t>29A Cao Bá Nhạ - Quận 1</t>
  </si>
  <si>
    <t xml:space="preserve">Bệnh viện Quận 2 </t>
  </si>
  <si>
    <t>79075</t>
  </si>
  <si>
    <t>130 Lê Văn Thịnh – P. Bình Trưng Tây – Quận 2</t>
  </si>
  <si>
    <t>- Thứ 2 đến CN: 7 giờ đến 19 giờ</t>
  </si>
  <si>
    <t xml:space="preserve">Bệnh viện Quận 3 </t>
  </si>
  <si>
    <t>79009</t>
  </si>
  <si>
    <t>114 – 116 Trần Quốc Thảo – Phường 7 – Quận 3</t>
  </si>
  <si>
    <t xml:space="preserve">Bệnh viện Quận 4 </t>
  </si>
  <si>
    <t>79010</t>
  </si>
  <si>
    <t>63- 65 Bến Vân Đồn – Phường 12 – Quận 4</t>
  </si>
  <si>
    <t>- KCB từ Thứ 2 đến 7: 7giờ đến 16 giờ 30</t>
  </si>
  <si>
    <t xml:space="preserve">Bệnh viện Quận 5 </t>
  </si>
  <si>
    <t>79015</t>
  </si>
  <si>
    <t>644 Nguyễn Trãi – Phường 11 – Quận 5</t>
  </si>
  <si>
    <t>- KCB giờ hành chính và sáng Thứ 7</t>
  </si>
  <si>
    <t>15</t>
  </si>
  <si>
    <t xml:space="preserve">Bệnh viện Quận 6 </t>
  </si>
  <si>
    <t>79017</t>
  </si>
  <si>
    <t>Số 2D Đường Chợ Lớn  Phường 11 Quận 6</t>
  </si>
  <si>
    <t>- KCB Thứ 2 đến thứ 7: 7 giờ đến 16 giờ 30</t>
  </si>
  <si>
    <t>16</t>
  </si>
  <si>
    <t xml:space="preserve">Bệnh viện Quận 7 </t>
  </si>
  <si>
    <t>79019</t>
  </si>
  <si>
    <t>101 Nguyễn Thị Thập – Tân Phú – Quận 7</t>
  </si>
  <si>
    <t>- Thứ 2 đến Thứ 6: 7 giờ 30 đến 16 giờ 30
Sáng Thứ 7 và Chủ Nhật</t>
  </si>
  <si>
    <t>17</t>
  </si>
  <si>
    <t xml:space="preserve">Bệnh viện Quận 8 </t>
  </si>
  <si>
    <t>79021</t>
  </si>
  <si>
    <t>82 Cao Lỗ – Phường 4 – Quận 8</t>
  </si>
  <si>
    <t>- Thứ 2 đến Thứ 6: 7 giờ đến 17 giờ 
 và sáng Thứ 7</t>
  </si>
  <si>
    <t>18</t>
  </si>
  <si>
    <t>Bệnh viện Quận 8 (PK Rạch Cát)</t>
  </si>
  <si>
    <t>79052</t>
  </si>
  <si>
    <t>160 Mễ Cốc – Phường 15 – Quận 8</t>
  </si>
  <si>
    <t>19</t>
  </si>
  <si>
    <t>Bệnh viện Quận 8 (PK Xóm Củi)</t>
  </si>
  <si>
    <t>79053</t>
  </si>
  <si>
    <t>379 Tùng Thiện Vương – P.12 – Quận 8</t>
  </si>
  <si>
    <t>20</t>
  </si>
  <si>
    <t xml:space="preserve">Bệnh viện Quận 9 </t>
  </si>
  <si>
    <t>79022</t>
  </si>
  <si>
    <t>387 Lê Văn Việt – P. Tăng Nhơn Phú A – Quận 9</t>
  </si>
  <si>
    <t xml:space="preserve">
- KCB Thứ 2 đến Thứ 6 :7 giờ 30 đến 20 giờ,sáng Thứ 7 và sáng CN
</t>
  </si>
  <si>
    <t>21</t>
  </si>
  <si>
    <t xml:space="preserve">Bệnh viện Quận 10 </t>
  </si>
  <si>
    <t>79027</t>
  </si>
  <si>
    <t>571 Sư  Vạn Hạnh  – Phường 13 – Quận 10</t>
  </si>
  <si>
    <t>- KCB Thứ 2 dến thứ 7: 5 giờ đến 20 giờ, sáng CN</t>
  </si>
  <si>
    <t>22</t>
  </si>
  <si>
    <t xml:space="preserve">Bệnh viện Quận 11 </t>
  </si>
  <si>
    <t>79028</t>
  </si>
  <si>
    <t>72 đường số 5 CX Bình Thới – Quận 11</t>
  </si>
  <si>
    <t>- Thứ 2 đến Thứ 6: 6 giờ 30 đến 19 giờ 
- Thứ 7: 7 giờ 30 đến 16 giờ 30</t>
  </si>
  <si>
    <t>23</t>
  </si>
  <si>
    <t xml:space="preserve">Bệnh viện Quận 12 </t>
  </si>
  <si>
    <t>79029</t>
  </si>
  <si>
    <t>111 Tân Chánh Hiệp - Quận 12</t>
  </si>
  <si>
    <t>24</t>
  </si>
  <si>
    <t xml:space="preserve">Bệnh viện Quận Gò Vấp </t>
  </si>
  <si>
    <t>79035</t>
  </si>
  <si>
    <t>212 Lê Đức Thọ – Phường 15 – Quận Gò Vấp</t>
  </si>
  <si>
    <t>- KCB Thứ 2 đến thứ 7: 6 giờ 30 đến 18 giờ 30.</t>
  </si>
  <si>
    <t>- KCB Thứ 2 đến thứ 7: 6 giờ 30 đến 16 giờ 30</t>
  </si>
  <si>
    <t>25</t>
  </si>
  <si>
    <t xml:space="preserve">Bệnh viện Quận Phú Nhuận </t>
  </si>
  <si>
    <t>79032</t>
  </si>
  <si>
    <t>274 Nguyễn Trọng Tuyển – P. 8 – Quận Phú Nhuận</t>
  </si>
  <si>
    <t>- KCB Thứ 2 đến thứ 7: 6 giờ đến 16 giờ 30</t>
  </si>
  <si>
    <t xml:space="preserve">Bệnh viện Quận Tân Bình </t>
  </si>
  <si>
    <t>79033</t>
  </si>
  <si>
    <t>605 Hoàng Văn Thụ - Phường 4 – Quận Tân Bình</t>
  </si>
  <si>
    <t xml:space="preserve">
- KCB Thứ 2 đến Thứ 6 :7 giờ 30đến 19 giờ và sáng Thứ 7
</t>
  </si>
  <si>
    <t>26</t>
  </si>
  <si>
    <t xml:space="preserve">
- KCB Thứ 2 đến Thứ 6 : 6 giờ 30 đến 19 giờ; Thứ 7: 7 giờ 30 đến 19 giờ; Chủ Nhật: 7 giờ 30 đến 11 giờ 30.
</t>
  </si>
  <si>
    <t xml:space="preserve">Bệnh viện Quận Bình Thạnh </t>
  </si>
  <si>
    <t>79031</t>
  </si>
  <si>
    <t>112 Đinh Tiên Hoàng – Phường 1 – Quận Bình Thạnh</t>
  </si>
  <si>
    <t>- KCB Thứ 2 đến CN: 6 giờ đến 20 giờ</t>
  </si>
  <si>
    <t>27</t>
  </si>
  <si>
    <t xml:space="preserve">Bệnh viện Quận Tân Phú </t>
  </si>
  <si>
    <t>79054</t>
  </si>
  <si>
    <t>609-611 Âu Cơ – Phường Phú Trung – Quận Tân Phú</t>
  </si>
  <si>
    <t xml:space="preserve">- Thứ 2 đến Thứ 6: 7 giờ 30 đến 20 giờ </t>
  </si>
  <si>
    <t>28</t>
  </si>
  <si>
    <t xml:space="preserve">- KCB Thứ 2 đến Thứ 6: 7 giờ 30 đến 20 giờ; Thứ 7: 7 giờ 30 đến 11 giờ 30. </t>
  </si>
  <si>
    <t xml:space="preserve">Bệnh viện Quận Bình Tân </t>
  </si>
  <si>
    <t>79055</t>
  </si>
  <si>
    <t>809 Hương lộ 2 – P.Bình Trị Đông A Quận Bình Tân</t>
  </si>
  <si>
    <t>- KCB Thứ 2 đến Thứ 6: 7 giờ đến 20 giờ 
- Thứ 7, Chủ nhật: 8 giờ đến 16 giờ</t>
  </si>
  <si>
    <t>29</t>
  </si>
  <si>
    <t>Phòng khám đa khoa thuộc bệnh viện Quận Tân Phú</t>
  </si>
  <si>
    <t>200/14 Nguyễn Hữu Tiến – P. Tây Thạnh – Q.Tân Phú</t>
  </si>
  <si>
    <t xml:space="preserve">- KCB Thứ 2 đến Thứ 6: 6 giờ 30 đến 19 giờ 30; Thứ 7: 7 giờ 30 đến 11 giờ 30. </t>
  </si>
  <si>
    <t>30</t>
  </si>
  <si>
    <t>Bệnh viện Huyện Bình Chánh</t>
  </si>
  <si>
    <t>79038</t>
  </si>
  <si>
    <t>E9-5 Nguyễn Hữu Trí – TT Tân Túc – H.Bình Chánh</t>
  </si>
  <si>
    <t>- KCB Thứ 2 đến CN: 7 giờ 30 đến 17 giờ</t>
  </si>
  <si>
    <t>31</t>
  </si>
  <si>
    <t>Bệnh viện Huyện Nhà Bè</t>
  </si>
  <si>
    <t>79045</t>
  </si>
  <si>
    <t>281 A Lê Văn Lương Ấp 3–Xã Phước Kiểng– H.Nhà Bè</t>
  </si>
  <si>
    <t>32</t>
  </si>
  <si>
    <t>Bệnh viện Huyện Cần Giờ</t>
  </si>
  <si>
    <t>79042</t>
  </si>
  <si>
    <t>Ấp Miễu - Xã Cần Thạnh - Huyện Cần Giờ</t>
  </si>
  <si>
    <t>33</t>
  </si>
  <si>
    <t>Phòng khám đa khoa khu vực An Nghĩa</t>
  </si>
  <si>
    <t>79492</t>
  </si>
  <si>
    <t xml:space="preserve">Ấp An Nghĩa - Xã An Thới Đông - Huyện Cần Giờ </t>
  </si>
  <si>
    <t>34</t>
  </si>
  <si>
    <t xml:space="preserve">Bệnh viện Huyện Củ Chi </t>
  </si>
  <si>
    <t>79039</t>
  </si>
  <si>
    <t>Tỉnh lộ 7 - Ấp  Chợ Cũ – Xã An Nhơn Tây – H.Củ Chi</t>
  </si>
  <si>
    <t>Thứ 2 đến Chủ Nhật: Từ 7 giờ đến 21 gờ</t>
  </si>
  <si>
    <t>35</t>
  </si>
  <si>
    <t>Thứ 2 đến Chủ Nhật: Từ 7 giờ đến 21 giờ</t>
  </si>
  <si>
    <t xml:space="preserve">Bệnh xá Sư đoàn 9 </t>
  </si>
  <si>
    <t>79061</t>
  </si>
  <si>
    <t>Ấp Cây Sộp – Xã Tân An Hội – H. Củ Chi</t>
  </si>
  <si>
    <t>- Không nhận dưới 15 tuổi
- Khám chữa bệnh 24/24</t>
  </si>
  <si>
    <t>36</t>
  </si>
  <si>
    <t xml:space="preserve"> Bệnh viện Công An Thành phồ Hồ Chí Minh </t>
  </si>
  <si>
    <t>79540</t>
  </si>
  <si>
    <t>126 Hải Thượng Lãng Ông - P10 - Quận 5</t>
  </si>
  <si>
    <t>37</t>
  </si>
  <si>
    <t>38</t>
  </si>
  <si>
    <t>Phòng khám ĐK thuộc khoa Khám bệnh Trung tâm y tế Quận Gò Vấp</t>
  </si>
  <si>
    <t>131 Nguyễn Thái Sơn – Phường 7 – Quận Gò Vấp</t>
  </si>
  <si>
    <t>- KCB Thứ 2 đến thứ 7: 7 giờ đến 16 giờ.</t>
  </si>
  <si>
    <t>39</t>
  </si>
  <si>
    <t>Phòng khám đa khoa thuộc trung tâm y tế Quận Tân Phú</t>
  </si>
  <si>
    <t>79558</t>
  </si>
  <si>
    <t>44 - 44 A Thống Nhất _ Phường Tân Thành - Quận Tân Phú</t>
  </si>
  <si>
    <t>- KCB Thứ 2 đến thứ 7: 7 giờ đến 16 giờ 30.</t>
  </si>
  <si>
    <t>40</t>
  </si>
  <si>
    <t>Phòng khám đa khoa thuộc trung tâm y tế Quận Bình Thạnh</t>
  </si>
  <si>
    <t>79573</t>
  </si>
  <si>
    <t>99/6 Nơ Trang Long - Phường 11 - Quận Bình Thạnh</t>
  </si>
  <si>
    <t>41</t>
  </si>
  <si>
    <t>Phòng khám đa khoa thuộc trung tâm y tế Quận 8</t>
  </si>
  <si>
    <t>79581</t>
  </si>
  <si>
    <t>170 Tùng Thiện Vương - Phường 11 - Quận 8</t>
  </si>
  <si>
    <t>- KCB Thứ 2 đến thứ 6: 7 giờ đến 16 giờ 30.</t>
  </si>
  <si>
    <t>42</t>
  </si>
  <si>
    <t>Phòng khám đa khoa thuộc trung tâm y tế Quận Phú Nhuận</t>
  </si>
  <si>
    <t>79576</t>
  </si>
  <si>
    <t>23 Nguyễn Văn Đậu - Phường 5 - Quận Phú Nhuận</t>
  </si>
  <si>
    <t>- KCB Thứ 2 đến thứ 7: 7 giờ đến 21 giờ.</t>
  </si>
  <si>
    <t>43</t>
  </si>
  <si>
    <t>Phòng khám đa khoa thuộc trung tâm y tế Huyện Bình Chánh</t>
  </si>
  <si>
    <t>79603</t>
  </si>
  <si>
    <t>350 Tân Túc - TT Tân Túc- Huyện Bình Chánh</t>
  </si>
  <si>
    <t>Giờ hành chính</t>
  </si>
  <si>
    <t>44</t>
  </si>
  <si>
    <t>Phòng khám đa khoa thuộc trung tâm y tế Quận 4</t>
  </si>
  <si>
    <t>79601</t>
  </si>
  <si>
    <t>51 Vĩnh Khánh - P9 - Quận 4 và 396/27 Nguyễn Tất Thành - p 18 - Quận 4</t>
  </si>
  <si>
    <t>- KCB Thứ 2 đến thứ 6: 7 giờ 30 đến 17 giờ.</t>
  </si>
  <si>
    <t>45</t>
  </si>
  <si>
    <t>Phòng khám đa khoa thuộc trung tâm y tế Quận 7</t>
  </si>
  <si>
    <t>79584</t>
  </si>
  <si>
    <t>207B Lê Văn Lương - p. Tân Kiểng - Quận 7</t>
  </si>
  <si>
    <t>46</t>
  </si>
  <si>
    <t>Phòng khám đa khoa thuộc trung tâm y tế Quận 11</t>
  </si>
  <si>
    <t>79594</t>
  </si>
  <si>
    <t>72A Đường số 5 CX Bình Thới - P8 - Quận 11</t>
  </si>
  <si>
    <t>V</t>
  </si>
  <si>
    <t>Các cơ sở KCB tư nhân tương đương tuyến huyện.</t>
  </si>
  <si>
    <t>Bệnh viện đa khoa tư nhân Xuyên Á</t>
  </si>
  <si>
    <t>79488</t>
  </si>
  <si>
    <t>Quốc lộ 22, ấp Chợ, xã Tân Phú Trung, huyện Củ Chi, TP.HCM</t>
  </si>
  <si>
    <t>- KCB Thứ 2 đến CN: 7 giờ đến 20 giờ 30</t>
  </si>
  <si>
    <t xml:space="preserve">Bệnh viện Quốc Ánh </t>
  </si>
  <si>
    <t>79074</t>
  </si>
  <si>
    <t>104-110 Đường 54 KDC Tân Tạo P.TTạo – Q. Bình Tân</t>
  </si>
  <si>
    <t>- KCB Thứ 2 đến CN: 7 giờ đến 22 giờ</t>
  </si>
  <si>
    <t>Bệnh viện đa khoa Đức Khang</t>
  </si>
  <si>
    <t>79458</t>
  </si>
  <si>
    <t>129A Nguyễn Chí Thanh – P.9 - Quận 5</t>
  </si>
  <si>
    <t>- KCB Thứ 2 đến CN: 7 giờ đến 24 giờ</t>
  </si>
  <si>
    <t>Bệnh viện đa khoa tư nhân Triều An</t>
  </si>
  <si>
    <t>79058</t>
  </si>
  <si>
    <t>425 Kinh Dương Vương – P. An Lạc – Q. Bình Tân</t>
  </si>
  <si>
    <t>- KCB Thứ 2 đến Thứ 7: 6 giờ 30 đến 15 giờ và Sáng Chủ Nhật.</t>
  </si>
  <si>
    <t>Bệnh viện Phương Đông</t>
  </si>
  <si>
    <t>79472</t>
  </si>
  <si>
    <t>79 Thành Thái – Phường 14 – Quận 10</t>
  </si>
  <si>
    <t>- KCB Thứ 2 đến Thứ 7:7 giờ 30 đến 16 giờ 30</t>
  </si>
  <si>
    <t>Bệnh Viện Tân Sơn Nhất</t>
  </si>
  <si>
    <t>79495</t>
  </si>
  <si>
    <t>2B Phổ Quang - P2 - Tân Bình</t>
  </si>
  <si>
    <t>Bệnh viện đa khoa Tâm Trí Sài Gòn</t>
  </si>
  <si>
    <t>79489</t>
  </si>
  <si>
    <t>171/3 Trường Chinh, P. Tân Thới Nhất, Q.12</t>
  </si>
  <si>
    <t>- KCB Thứ 2 đến Thứ 7: 7 giờ đến 19 giờ và Sáng Chủ Nhật.</t>
  </si>
  <si>
    <t>Bệnh viện quốc tế City</t>
  </si>
  <si>
    <t>79505</t>
  </si>
  <si>
    <t>532 A Kinh Dương Vương - Phường Bình Trị Đông B - Quận Bình Tân</t>
  </si>
  <si>
    <t>- KCB Thứ 2 đến Thứ 7:7 giờ 30 đến 16 giờ 30.</t>
  </si>
  <si>
    <t>Bệnh viện đa khoa Tân Hưng</t>
  </si>
  <si>
    <t>79516</t>
  </si>
  <si>
    <t>05 đường số 17A KP 11P - Bình Trị Đông B - Bình Tân</t>
  </si>
  <si>
    <t>- KCB Thứ 2 đến Thứ 7: 7 giờ 30 đến 20 giờ.</t>
  </si>
  <si>
    <t>Bệnh viện Gia An 115</t>
  </si>
  <si>
    <t>Phòng khám đa khoa (Thuộc Cty TNHH TTYK Phước An)</t>
  </si>
  <si>
    <t>79060</t>
  </si>
  <si>
    <t>274 Huỳnh Tấn Phát - P. Tân Thuận Tây - Quận 7</t>
  </si>
  <si>
    <t>Phòng khám đa khoa (Thuộc CN2 - Cty TNHH TTYK Phước An)</t>
  </si>
  <si>
    <t>79457</t>
  </si>
  <si>
    <t xml:space="preserve">686 đường 3/2 – P.4 – Quận 10 </t>
  </si>
  <si>
    <t>Phòng khám đa khoa (Thuộc CN5 - Cty TNHH TTYK Phước An)</t>
  </si>
  <si>
    <t>79065</t>
  </si>
  <si>
    <t xml:space="preserve">42 Đường 26 – Phường 10 – Quận 6 </t>
  </si>
  <si>
    <t>Phòng khám đa khoa (Thuộc CN6 - Cty TNHH TTYK Phước An)</t>
  </si>
  <si>
    <t>79066</t>
  </si>
  <si>
    <t>197-198 Tôn Thất Thuyết – Phường 3 – Quận 4</t>
  </si>
  <si>
    <t>Phòng khám đa khoa (thuộc Cty TNHH PKđa khoa Sài Gòn)</t>
  </si>
  <si>
    <t>79059</t>
  </si>
  <si>
    <t>3A35 Tỉnh lộ 10 (Bà Hom nối dài) Xã Phạm Văn Hai –H Bình Chánh</t>
  </si>
  <si>
    <t>- KCB Thứ 2 đến CN: 7 giờ 30 đến 21 giờ</t>
  </si>
  <si>
    <t>Phòng khám đa khoa (thuộc Cty TNHH PKđa khoa Sài Gòn - TT khám bệnh số 2)</t>
  </si>
  <si>
    <t>79473</t>
  </si>
  <si>
    <t>132-134 Lý Thái Tổ - Phường 2 – Quận 3</t>
  </si>
  <si>
    <t xml:space="preserve"> Phòng khám đa khoa(thuộc Cty TNHH MTV PK đa khoa An Phúc) </t>
  </si>
  <si>
    <t>79070</t>
  </si>
  <si>
    <t>391 Lý Thái Tổ Phường 9 – Quận 10</t>
  </si>
  <si>
    <t>- KCB Thứ 2 đến Thứ 7: 7 giờ đến 20 giờ và Sáng Chủ Nhật.</t>
  </si>
  <si>
    <t>Phòng khám đa khoa (thuộc Cty TNHH Y khoa Quốc tế Thiên Phúc)</t>
  </si>
  <si>
    <t>79068</t>
  </si>
  <si>
    <t>741-743 Quốc lộ 22 - TT Củ Chi – Huyện Củ Chi</t>
  </si>
  <si>
    <t>- KCB Thứ 2 đến CN: 6 giờ 30 đến 21 giờ</t>
  </si>
  <si>
    <t>Phòng khám đa khoa (thuộc Cty TNHH BV Thánh Mẫu )</t>
  </si>
  <si>
    <t>79465</t>
  </si>
  <si>
    <t>118 Bành Văn Trân – P.7- Q. Tân Bình</t>
  </si>
  <si>
    <t>Phòng khám đa khoa (thuộc Cty TNHH MTV TMDV Y tế Tân Bình)</t>
  </si>
  <si>
    <t>79466</t>
  </si>
  <si>
    <t>Lô II -6 cụm 02 Lê Trọng Tấn - P.Tây Thạnh 
 Q.Tân Phú</t>
  </si>
  <si>
    <t>- KCB Thứ 2 đến Thứ 7:7 giờ 30 đến 20 giờ 30 và Sáng Chủ Nhật.</t>
  </si>
  <si>
    <t>Phòng khám đa khoa (thuộc CP TTYK Thành Công)</t>
  </si>
  <si>
    <t>79483</t>
  </si>
  <si>
    <t>36 Tây Thạnh – Phường Tây Thạnh – Quận Tân Phú</t>
  </si>
  <si>
    <t>- KCB Thứ 2 đến CN: 7 giờ 30 đến 20 giờ</t>
  </si>
  <si>
    <t>Phòng khám đa khoa (thuộc CN Cty ĐT Khang Minh - TTYK Kỳ Hòa)</t>
  </si>
  <si>
    <t>79002</t>
  </si>
  <si>
    <t>266-268 Đường 3/2 - Phường 12 Quận 10 -</t>
  </si>
  <si>
    <t>Phòng khám đa khoa (thuộc Cty TNHH PKđa khoa Vạn Phúc)</t>
  </si>
  <si>
    <t>79062</t>
  </si>
  <si>
    <t>1184 Lê Đức Thọ – P.13 – Quận Gò Vấp</t>
  </si>
  <si>
    <t xml:space="preserve">- KCB Thứ 2 đến CN: 7 giờ đến 21 giờ </t>
  </si>
  <si>
    <t xml:space="preserve"> Phòng khám đa khoa (thuộc Cty CP PKĐK Thiên Ý Củ Chi)</t>
  </si>
  <si>
    <t>79067</t>
  </si>
  <si>
    <t>703 Khu phố 5 Quốc lộ 22 TT Củ Chi</t>
  </si>
  <si>
    <t>Phòng khám đa khoa (thuộc Cty TNHH PKđa khoa quốc tế An Phú)</t>
  </si>
  <si>
    <t>79486</t>
  </si>
  <si>
    <t>251 A Lương Định Của – Phường An Phú – Quận 2</t>
  </si>
  <si>
    <t>- KCB Thứ 2 đến Thứ 7: 7 giờ 30 đến 18 giờ</t>
  </si>
  <si>
    <t>Phòng khám đa khoa (thuộc công ty TNHH PKđa khoa Tân Quy)</t>
  </si>
  <si>
    <t>79508</t>
  </si>
  <si>
    <t>28/7 Ấp 1 xã Tân Thạnh Tây - huyện Củ Chi</t>
  </si>
  <si>
    <t>Phòng khám đa khoa (thuộc CN1 - Công ty TNHH BV Đa Khoa Hoàn Hảo)</t>
  </si>
  <si>
    <t>79485</t>
  </si>
  <si>
    <t>1B đường Hoàng Hữu Nam - KP Mỹ Thành - P.Long Thạnh Mỹ - Quận 9</t>
  </si>
  <si>
    <t>Phòng khám đa khoa(thuộc Cty TNHH dịch vụ y tế Gentical Lạc Long Quân)</t>
  </si>
  <si>
    <t>79459</t>
  </si>
  <si>
    <t>988 Lạc Long Quân – Phường 8 – Quận Tân Bình</t>
  </si>
  <si>
    <t>- KCB Thứ 2 đến CN: 7 giờ đến 20 giờ</t>
  </si>
  <si>
    <t>Phòng khám đa khoa (thuộc Cty TNHH trang thiết bị y tế Kiều Tiên)</t>
  </si>
  <si>
    <t>79047</t>
  </si>
  <si>
    <t>323/3 Lê Quang Định – P. 5 – Q. Bình Thạnh</t>
  </si>
  <si>
    <t>Phòng khám đa khoa (thuộc Cty TNHH TTYK Hoàng Khang)</t>
  </si>
  <si>
    <t>79469</t>
  </si>
  <si>
    <t>285 Bà Hom – Phường 13 - Quận 6</t>
  </si>
  <si>
    <t>- KCB Thứ 2 đến CN: 7 giờ 30 đến 20 giờ 30</t>
  </si>
  <si>
    <t>Phòng khám đa khoa (thuộc Cty TNHH YK Quốc tế Chung Minh)</t>
  </si>
  <si>
    <t>79063</t>
  </si>
  <si>
    <t>95 Hồ Bá Kiện – Phường 15 – Quận 10</t>
  </si>
  <si>
    <t>Phòng khám đa khoa (thuộc Cty TNHH PKđa khoa Việt Phước)</t>
  </si>
  <si>
    <t>79064</t>
  </si>
  <si>
    <t>772 Tân Kỳ Tân Quý – P. Bình Hưng Hòa – Quận Bình Tân</t>
  </si>
  <si>
    <t>Phòng khám đa khoa (thuộc CTCP BVđa khoa Hoàn Mỹ Sài Gòn)</t>
  </si>
  <si>
    <t>79464</t>
  </si>
  <si>
    <t>04A Hoàng Việt - Phường 4 - Quận Tân Bình</t>
  </si>
  <si>
    <t>-  KCB Thứ 2 đến Thứ 7: 7 giờ đến 18 giờ và Sáng Chủ Nhật.</t>
  </si>
  <si>
    <t>Phòng khám đa khoa (thuộc công ty TNHH Y tế Đại Phước)</t>
  </si>
  <si>
    <t>79490</t>
  </si>
  <si>
    <t>829-829 A đường 3/2, P.7, Q.11</t>
  </si>
  <si>
    <t>- KCB Thứ 2 đến Thứ 7: 7 giờ đến 20 giờ</t>
  </si>
  <si>
    <t>Phòng khám đa khoa (thuộc Cty TNHH MTV PK đa khoa Lê Minh Xuân)</t>
  </si>
  <si>
    <t>79046</t>
  </si>
  <si>
    <t>B23/474 Trần Đại Nghĩa - Tân Nhật - H, Bình Chánh</t>
  </si>
  <si>
    <t>Phòng khám đa khoa (thuộc Cty TNHH PKđa khoa Phước Linh)</t>
  </si>
  <si>
    <t>79493</t>
  </si>
  <si>
    <t>210 Phạm Đăng Giảng- P. Bình Hưng Hòa 
 Quận Bình Tân</t>
  </si>
  <si>
    <t>Phòng khám đa khoa (thuộc Cty CP PKđa khoa Bắc Mỹ)</t>
  </si>
  <si>
    <t>79797</t>
  </si>
  <si>
    <t>139 Nguyễn Văn Tăng- P. Long Thạnh Mỹ, Quận 9</t>
  </si>
  <si>
    <t>Phòng khám đa khoa (thuộc Cty CP PK đa khoa Thành An)</t>
  </si>
  <si>
    <t>79494</t>
  </si>
  <si>
    <t>1691 Tỉnh lộ 10- KP5- P.Tân Tạo A - Quận Bình Tân</t>
  </si>
  <si>
    <t>Phòng khám đa khoa (thuộc Cty TNHH TM và DV PKđa khoa Nam Sài Gòn)</t>
  </si>
  <si>
    <t>79512</t>
  </si>
  <si>
    <t>D6/8 QL 1A Ấp 4- Xã Bình Chánh - H. Bình Chánh</t>
  </si>
  <si>
    <t>- KCB Thứ 2 đến CN: 7 giờ 30 đến 18 giờ</t>
  </si>
  <si>
    <t>Phòng khám đa khoa (thuộc Cty TNHH  PK đa khoa Quốc Tế Hàng Xanh)</t>
  </si>
  <si>
    <t>79513</t>
  </si>
  <si>
    <t>395-397 Điện Biên Phủ - P, 25 - Q. Bình Thạnh</t>
  </si>
  <si>
    <t>- KCB Thứ 2 đến Thứ 7:7 giờ đến 19 giờ 30 và sáng Chủ nhật.</t>
  </si>
  <si>
    <t>Phòng khám đa khoa (thuộc công ty TNHH PK đa khoa KCN Tân Tạo)</t>
  </si>
  <si>
    <t>79514</t>
  </si>
  <si>
    <t>4423 Nguyễn Cửu Phú - KP4 - P. Tân Tạo 
Quận Bình Tân</t>
  </si>
  <si>
    <t>- KCB Thứ 2 đến Chủ nhật:7 giờ đến 21 giờ</t>
  </si>
  <si>
    <t>Phòng khám đa khoa (Thuộc Cty CP PK đa khoa Hữu Nghị)</t>
  </si>
  <si>
    <t>79517</t>
  </si>
  <si>
    <t>501-503 Nguyễn Oanh- P. 17- Q Gò Vấp</t>
  </si>
  <si>
    <t>Phòng khám đa khoa (thuộc công ty TNHH PKđa khoa Hy Vọng)</t>
  </si>
  <si>
    <t>79518</t>
  </si>
  <si>
    <t>1031B Thoại Ngọc Hầu - P. Hòa Thạnh - Q. Tân Phú</t>
  </si>
  <si>
    <t>- KCB Thứ 2 đến Thứ 7: 7 giờ đến 17 giờ và sáng Chủ Nhật</t>
  </si>
  <si>
    <t>Phòng khám đa khoa (thuộc Cty TNHH chẩn đoán y khoa Tâm Phúc</t>
  </si>
  <si>
    <t>79519</t>
  </si>
  <si>
    <t>331-333 Lê Văn Thọ - Phường 9 - Quận Gò Vấp</t>
  </si>
  <si>
    <t>- KCB Thứ 2 đến Thứ 7: 7 giờ đến 20 giờ và Sáng Chủ Nhật từ 7 giờ đến 12 giờ.</t>
  </si>
  <si>
    <t>Phòng khám đa khoa (thuộc công ty TNHH PKđa khoa Bắc Sài Gòn - VN Clinic)</t>
  </si>
  <si>
    <t>79520</t>
  </si>
  <si>
    <t>189 Nguyễn Oanh - Phường 10 - Quận Gò Vấp</t>
  </si>
  <si>
    <t>- KCB Thứ 2 đến thứ 7:7 giờ 30 đến 17 giờ và Sáng Chủ Nhật từ 7 giờ đến 11 giờ.</t>
  </si>
  <si>
    <t>Phòng khám đa khoa (thuộc công ty TNHH  Y - Dược Thái Anh)</t>
  </si>
  <si>
    <t>79521</t>
  </si>
  <si>
    <t>134 Tân Hòa Đông - Phường 14 - Quận 6</t>
  </si>
  <si>
    <t>- KCB Thứ 2 đến Thứ 7: 7 giờ 30 đến 21 giờ, Chủ Nhật từ 7 giờ 30 đến 11 giờ 30.</t>
  </si>
  <si>
    <t>47</t>
  </si>
  <si>
    <t>Phòng khám đa khoa (thuộc công ty CP Y khoa CHAC 2)</t>
  </si>
  <si>
    <t>79522</t>
  </si>
  <si>
    <t>42 Đặng Văn Bi - P. Bình Thọ - Q. Thủ Đức</t>
  </si>
  <si>
    <t>- KCB Thứ 2 đến Chủ nhật:7 giờ 30 đến 20 giờ</t>
  </si>
  <si>
    <t>48</t>
  </si>
  <si>
    <t>Phòng khám đa khoa TN Vietlife - MRI (thuộc CN Cty CP Cẩm Hà)</t>
  </si>
  <si>
    <t>79524</t>
  </si>
  <si>
    <t>583 Sư Vạn Hạnh - P.13 - Quận 10</t>
  </si>
  <si>
    <t>- KCB Thứ 2 đến thứ 7:7 giờ đến 21 giờ, Chủ Nhật: 7 giờ đến 11 giờ 30</t>
  </si>
  <si>
    <t>49</t>
  </si>
  <si>
    <t>Phòng khám đa khoa (Thuộc Cty TNHH PKđa khoa Thiện Minh)</t>
  </si>
  <si>
    <t>79526</t>
  </si>
  <si>
    <t>006 Tòa nhà H1 Hoàng Diệu - Phường 9 - Quận 4</t>
  </si>
  <si>
    <t>- KCB Thứ 2 đến Chủ Nhật :7 giờ đến 21 giờ.</t>
  </si>
  <si>
    <t>50</t>
  </si>
  <si>
    <t>Phòng khám đa khoa (Thuộc Cty CP Vigor Anbis Japan)</t>
  </si>
  <si>
    <t>79565</t>
  </si>
  <si>
    <t>Lầu 2 - Tòa nhà Áo Dài - 21 Nguyễn Trung Ngạn - Phường Bến Nghé - Quận 1</t>
  </si>
  <si>
    <t>- KCB Thứ 2 đến Thứ 7 :7 giờ đến 20 giờ</t>
  </si>
  <si>
    <t>51</t>
  </si>
  <si>
    <t>Phòng khám đa khoa (Thuộc Cty TNHH PKđa khoa Nhơn Tâm)</t>
  </si>
  <si>
    <t>79568</t>
  </si>
  <si>
    <t>469 Nguyễn Văn Tạo - Ấp 2 - Xã Long Thới
 Huyện Nhà Bè</t>
  </si>
  <si>
    <t xml:space="preserve">- KCB Thứ 2 đến Thứ 7 :7 giờ đến 20 giờ 30 </t>
  </si>
  <si>
    <t>52</t>
  </si>
  <si>
    <t>Phòng khám đa khoa (Thuộc Cty TNHH PKĐK Quốc Tế Sài Gòn)</t>
  </si>
  <si>
    <t>79530</t>
  </si>
  <si>
    <t>09-11-13-15 Trịnh Văn Cấn - Phường Cầu Ông Lãnh - Quận 1</t>
  </si>
  <si>
    <t xml:space="preserve"> - Không nhận dưới 15 tuổi
- KCB Thứ 2 đến Thứ 7 :7 giờ 30 đến 20 giờ</t>
  </si>
  <si>
    <t>53</t>
  </si>
  <si>
    <t>Phòng khám đa khoa đại học Nguyễn Tất Thành</t>
  </si>
  <si>
    <t>298A Nguyễn Tất Thành - P13 - Quận 4</t>
  </si>
  <si>
    <t>- KCB Thứ 2 đến thứ 7: 7 giờ 30 đến 20 giờ.</t>
  </si>
  <si>
    <t>54</t>
  </si>
  <si>
    <t>Phòng khám đa khoa (Thuộc Chi nhánh Cty TNHH PKĐK Quốc Tế Sài Gòn)</t>
  </si>
  <si>
    <t>79531</t>
  </si>
  <si>
    <t>06-08 Trịnh Văn Cấn - P. Cầu Ông Lãnh - Quận 1</t>
  </si>
  <si>
    <t>55</t>
  </si>
  <si>
    <t>Phòng khám đa khoa (Thuộc Cty TNHH dịch vụ y tế Tân Thuận)</t>
  </si>
  <si>
    <t>79018</t>
  </si>
  <si>
    <t>Lô HC 2 khu trung tâm điều hành dịch vụ KCX Tân Thuận - Quận 7</t>
  </si>
  <si>
    <t>- KCB Thứ 2 đến Thứ 7 :7 giờ đến 19 giờ</t>
  </si>
  <si>
    <t>56</t>
  </si>
  <si>
    <t>Phòng khám đa khoa (Thuộc  Cty TNHH Y khoa Liên An)</t>
  </si>
  <si>
    <t>79533</t>
  </si>
  <si>
    <t>D1/3 Nguyễn Thị Tú - Ấp 4 - Vĩnh Lộc B - Huyện Bình Chánh</t>
  </si>
  <si>
    <t>- KCB Thứ 2 đến Chủ nhật:7 giờ đến 20 giờ 30</t>
  </si>
  <si>
    <t>57</t>
  </si>
  <si>
    <t>Phòng khám đa khoa (Thuộc Cty TNHH Polycare )</t>
  </si>
  <si>
    <t>79537</t>
  </si>
  <si>
    <t>07-09 Khu biệt thự Ngân Long - Nguyễn Hữu Thọ - Phước Kiểng - Nhà Bè</t>
  </si>
  <si>
    <t>58</t>
  </si>
  <si>
    <t>Phòng khám đa khoa (Thuộc  CN1 - Cty TNHH TTYK Hợp Nhân)</t>
  </si>
  <si>
    <t>79536</t>
  </si>
  <si>
    <t>95 Phan Đăng Lưu - Phường 7 - Quận Phú Nhuận</t>
  </si>
  <si>
    <t>-  KCB Thứ 2 đến Thứ 7: 7 giờ đến 19 giờ ; Chủ nhật: 6 giờ đến 12 giờ.</t>
  </si>
  <si>
    <t>59</t>
  </si>
  <si>
    <t>Phòng khám đa khoa (Thuộc  Cty TNHH TMDV chăm sóc sức khoẻ Vĩnh Đức)</t>
  </si>
  <si>
    <t>79535</t>
  </si>
  <si>
    <t>363 Lê Trọng Tấn - Phường Sơn Kỳ - Quận Tân Phú</t>
  </si>
  <si>
    <t xml:space="preserve">- KCB Thứ 2 đến Chủ nhật:7 giờ đến 21 giờ </t>
  </si>
  <si>
    <t>60</t>
  </si>
  <si>
    <t>Phòng khám đa khoa (Thuộc Cty TNHH PKĐK Pháp Anh )</t>
  </si>
  <si>
    <t>79534</t>
  </si>
  <si>
    <t>222-224-226 Nguyễn Duy Dương - P.4 - Quận 10</t>
  </si>
  <si>
    <t>- KCB Thứ 2 đến Chủ nhật:4 giờ đến 18 giờ</t>
  </si>
  <si>
    <t>61</t>
  </si>
  <si>
    <t>Phòng khám đa khoa (Thuộc Cty TNHH PKĐK Hưng Dũng)</t>
  </si>
  <si>
    <t>79529</t>
  </si>
  <si>
    <t>525/15 Sư Vạn Hạnh(nối dài) - P.12 - Quận 10</t>
  </si>
  <si>
    <t xml:space="preserve">- KCB Thứ 2 đến Chủ nhật:8 giờ đến 20 giờ </t>
  </si>
  <si>
    <t>62</t>
  </si>
  <si>
    <t>Phòng khám đa khoa (Thuộc  Cty TNHH đa khoa Phước Sơn)</t>
  </si>
  <si>
    <t>79539</t>
  </si>
  <si>
    <t>226 Võ Văn Ngân - P. Bình Thọ - Quận Thủ Đức</t>
  </si>
  <si>
    <t>63</t>
  </si>
  <si>
    <t>Phòng khám đa khoa (Thuộc Cty TNHH dịch vụ y tế và Phòng khám đa khoa Tâm An )</t>
  </si>
  <si>
    <t>79541</t>
  </si>
  <si>
    <t>47/4-47/6 Huỳnh Tấn Phát - KP 6 - TT Nhà Bè - Huyện Nhà Bè</t>
  </si>
  <si>
    <t>- KCB Thứ 2 đến Thứ 7: 7 giờ đến 20 giờ 30, Chủ Nhật sáng và chiều từ 15 giờ đến 20 giờ 30</t>
  </si>
  <si>
    <t>64</t>
  </si>
  <si>
    <t>Phòng khám đa khoa (Thuộc Cty TNHH dịch vụ y tế Thiện Phước)</t>
  </si>
  <si>
    <t>79538</t>
  </si>
  <si>
    <t>Tỉnh lộ 15, ấp 12, xã Tân Thạnh Đông, Huyện Củ Chi</t>
  </si>
  <si>
    <t>65</t>
  </si>
  <si>
    <t>Chi nhánh Cty CP PKĐK Duy Khang (Phòng khám ĐK Duy Khang Him Lam Quận 7)</t>
  </si>
  <si>
    <t>79545</t>
  </si>
  <si>
    <t>51-53 Đường D4 - Khu đô thị mới mới Him Lam - P. Tân Hưng - Quận 7</t>
  </si>
  <si>
    <t>- KCB Thứ Hai đến Chủ Nhật: 7 giờ đến 21 giờ</t>
  </si>
  <si>
    <t>66</t>
  </si>
  <si>
    <t>Phòng khám đa khoa (thuộc Công ty TNHH Y khoa Hoàng Mỹ Sài Gòn)</t>
  </si>
  <si>
    <t>50 Phan Huy Ích – Phường 15 – Quận Tân Bình</t>
  </si>
  <si>
    <t>- KCB Thứ 2 đến Chủ Nhật: 7 giờ đến 17 giờ.</t>
  </si>
  <si>
    <t>67</t>
  </si>
  <si>
    <t>Phòng khám đa khoa (thuộc Công ty Cổ phần Bệnh viện Y dược Sài Gòn)</t>
  </si>
  <si>
    <t>407 Đỗ Xuân Hợp – Phường Phước Long B – Quận 9</t>
  </si>
  <si>
    <t>- KCB Thứ 2 đến Chủ Nhật: 7 giờ đến 22 giờ.</t>
  </si>
  <si>
    <t>68</t>
  </si>
  <si>
    <t>CTY CP Y VIỆT - Phòng khám bệnh viện Đại Học Y Dược 1</t>
  </si>
  <si>
    <t>20-22 Dương Quang Trung - Phường 12 - Quận 10</t>
  </si>
  <si>
    <t>- KCB Thứ 2 đến thứ 7: 6 giờ 30 đến 19 giờ 30.</t>
  </si>
  <si>
    <t>69</t>
  </si>
  <si>
    <t>Phòng khám đa khoa thuộc CN1 - Công ty TNHH Trung tâm trị liệu và Phục hồi Chức năng An Nhiên</t>
  </si>
  <si>
    <t>87 Trường Chinh - Phường 12 - Quận Tân Bình</t>
  </si>
  <si>
    <t>- KCB Thứ 2 đến thứ 7: 6 giờ đến 19 giờ; Chủ Nhật: 6 giờ đến 12 giờ.</t>
  </si>
  <si>
    <t>70</t>
  </si>
  <si>
    <t>Phòng khám đa khoa (thuộc Công ty TNHH Phong Tâm Phúc)</t>
  </si>
  <si>
    <t>79559</t>
  </si>
  <si>
    <t>464 Đường số 7- P. Bình Trị Đông B - Quận Bình Tân</t>
  </si>
  <si>
    <t>- KCB Thứ 2 đến Chủ Nhật: 7 giờ đến 20 giờ.</t>
  </si>
  <si>
    <t>71</t>
  </si>
  <si>
    <t>Chi nhánh Cty CP GREENBIZ (Phòng khám ĐK GALANT)</t>
  </si>
  <si>
    <t>79557</t>
  </si>
  <si>
    <t>119 Trần Bình Trọng - Phường 2 - Quận 5</t>
  </si>
  <si>
    <t>- KCB Thứ 2 đến Chủ Nhật: 7 giờ đến 21 giờ.</t>
  </si>
  <si>
    <t>72</t>
  </si>
  <si>
    <t>Phòng khám đa khoa (thuộc CN VII - Công ty TNHH BV Đa Khoa Hoàn Hảo)</t>
  </si>
  <si>
    <t>79575</t>
  </si>
  <si>
    <t>581-583 Kha Vạn Cân - KP 6 - P. Linh Đông - Quận Thủ Đức</t>
  </si>
  <si>
    <t>73</t>
  </si>
  <si>
    <t>Phòng khám đa khoa (thuộc Cty TNHH Pouyen Việt Nam)</t>
  </si>
  <si>
    <t>D10/89Q Quốc lộ 1A Xã Tân Tạo, Huyện Bình Chánh</t>
  </si>
  <si>
    <t>- KCB Thứ 2 đến Chủ Nhật: 7 giờ 30 đến 16 giờ.</t>
  </si>
  <si>
    <r>
      <rPr>
        <b/>
        <i/>
        <sz val="14"/>
        <rFont val="Times New Roman"/>
        <family val="1"/>
      </rPr>
      <t>Ghi chú</t>
    </r>
    <r>
      <rPr>
        <i/>
        <sz val="14"/>
        <rFont val="Times New Roman"/>
        <family val="1"/>
      </rPr>
      <t xml:space="preserve">: Người tham gia BHYT đăng ký KCB ban đầu tại cơ sở KCB tư nhân sẽ được hưởng quyền lợi BHYT theo quy định hiện hành đang áp dụng tại các cơ sở nhà nước. Phần chênh lệch dịch vụ như: công khám, xét nghiệm, phẫu thuật, các dịch vụ điều trị…người có thẻ BHYT phải tự thanh toán với cơ sở KCB tư nhân. </t>
    </r>
  </si>
  <si>
    <t>871 Trần Xuân Soạn P. Tân Hưng - Quận 7</t>
  </si>
  <si>
    <t>- Không nhận dưới 15 tuổi         - KCB Thứ 2 đến Thứ 7: Giờ hành chính và sáng thứ 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</si>
</sst>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3" formatCode="_(* #,##0.00_);_(* \(#,##0.00\);_(* &quot;-&quot;??_);_(@_)"/>
    <numFmt numFmtId="164" formatCode="000"/>
    <numFmt numFmtId="165" formatCode="_(* #,##0_);_(* \(#,##0\);_(* &quot;-&quot;??_);_(@_)"/>
    <numFmt numFmtId="166" formatCode="_-* #,##0.00\ _€_-;\-* #,##0.00\ _€_-;_-* &quot;-&quot;??\ _€_-;_-@_-"/>
    <numFmt numFmtId="167" formatCode="_-* #,##0\ _€_-;\-* #,##0\ _€_-;_-* &quot;-&quot;??\ _€_-;_-@_-"/>
    <numFmt numFmtId="168" formatCode="#,##0.0"/>
  </numFmts>
  <fonts count="21" x14ac:knownFonts="1">
    <font>
      <sz val="10"/>
      <name val="Arial"/>
    </font>
    <font>
      <sz val="10"/>
      <name val="Arial"/>
      <family val="2"/>
    </font>
    <font>
      <sz val="12"/>
      <name val="Times New Roman"/>
      <family val="1"/>
    </font>
    <font>
      <sz val="13"/>
      <name val="Times New Roman"/>
      <family val="1"/>
    </font>
    <font>
      <sz val="10"/>
      <name val="Arial"/>
    </font>
    <font>
      <sz val="11"/>
      <color theme="1"/>
      <name val="Times New Roman"/>
      <family val="1"/>
    </font>
    <font>
      <b/>
      <sz val="12"/>
      <name val="Times New Roman"/>
      <family val="1"/>
    </font>
    <font>
      <b/>
      <sz val="13"/>
      <name val="Times New Roman"/>
      <family val="1"/>
    </font>
    <font>
      <b/>
      <sz val="16"/>
      <name val="Times New Roman"/>
      <family val="1"/>
    </font>
    <font>
      <sz val="14"/>
      <name val="Times New Roman"/>
      <family val="1"/>
    </font>
    <font>
      <sz val="12"/>
      <color theme="1"/>
      <name val="Times New Roman"/>
      <family val="1"/>
    </font>
    <font>
      <sz val="12"/>
      <color indexed="8"/>
      <name val="Times New Roman"/>
      <family val="1"/>
    </font>
    <font>
      <sz val="11"/>
      <name val="Times New Roman"/>
      <family val="1"/>
    </font>
    <font>
      <sz val="13"/>
      <color rgb="FFFF0000"/>
      <name val="Times New Roman"/>
      <family val="1"/>
    </font>
    <font>
      <b/>
      <sz val="11"/>
      <name val="Times New Roman"/>
      <family val="1"/>
    </font>
    <font>
      <sz val="13"/>
      <name val="Times New Roman"/>
      <family val="1"/>
      <charset val="163"/>
    </font>
    <font>
      <b/>
      <sz val="10"/>
      <name val="Times New Roman"/>
      <family val="1"/>
    </font>
    <font>
      <sz val="11"/>
      <color rgb="FFFF0000"/>
      <name val="Times New Roman"/>
      <family val="1"/>
    </font>
    <font>
      <sz val="12"/>
      <name val="Times New Roman"/>
      <family val="1"/>
      <charset val="163"/>
    </font>
    <font>
      <i/>
      <sz val="14"/>
      <name val="Times New Roman"/>
      <family val="1"/>
    </font>
    <font>
      <b/>
      <i/>
      <sz val="14"/>
      <name val="Times New Roman"/>
      <family val="1"/>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s>
  <cellStyleXfs count="5">
    <xf numFmtId="0" fontId="0" fillId="0" borderId="0"/>
    <xf numFmtId="43" fontId="4" fillId="0" borderId="0" applyFont="0" applyFill="0" applyBorder="0" applyAlignment="0" applyProtection="0"/>
    <xf numFmtId="0" fontId="1" fillId="0" borderId="0"/>
    <xf numFmtId="166" fontId="1" fillId="0" borderId="0" applyFont="0" applyFill="0" applyBorder="0" applyAlignment="0" applyProtection="0"/>
    <xf numFmtId="0" fontId="1" fillId="0" borderId="0"/>
  </cellStyleXfs>
  <cellXfs count="135">
    <xf numFmtId="0" fontId="0" fillId="0" borderId="0" xfId="0"/>
    <xf numFmtId="164" fontId="3" fillId="0" borderId="0" xfId="2" applyNumberFormat="1" applyFont="1" applyFill="1" applyAlignment="1">
      <alignment horizontal="center"/>
    </xf>
    <xf numFmtId="3" fontId="5" fillId="0" borderId="0" xfId="0" applyNumberFormat="1" applyFont="1"/>
    <xf numFmtId="3" fontId="3" fillId="0" borderId="0" xfId="2" applyNumberFormat="1" applyFont="1" applyFill="1" applyAlignment="1">
      <alignment horizontal="center" vertical="center"/>
    </xf>
    <xf numFmtId="165" fontId="0" fillId="0" borderId="0" xfId="1" applyNumberFormat="1" applyFont="1"/>
    <xf numFmtId="164" fontId="7" fillId="0" borderId="0" xfId="2" applyNumberFormat="1" applyFont="1" applyFill="1" applyAlignment="1">
      <alignment horizontal="center"/>
    </xf>
    <xf numFmtId="49" fontId="3" fillId="0" borderId="0" xfId="2" applyNumberFormat="1" applyFont="1" applyFill="1" applyAlignment="1">
      <alignment vertical="center"/>
    </xf>
    <xf numFmtId="0" fontId="3" fillId="0" borderId="0" xfId="2" applyFont="1" applyFill="1"/>
    <xf numFmtId="3" fontId="3" fillId="0" borderId="0" xfId="2" applyNumberFormat="1" applyFont="1" applyFill="1" applyAlignment="1">
      <alignment wrapText="1"/>
    </xf>
    <xf numFmtId="3" fontId="7" fillId="0" borderId="0" xfId="2" applyNumberFormat="1" applyFont="1" applyFill="1" applyAlignment="1">
      <alignment horizontal="center" vertical="center"/>
    </xf>
    <xf numFmtId="3" fontId="7" fillId="0" borderId="0" xfId="2" applyNumberFormat="1" applyFont="1" applyFill="1" applyBorder="1" applyAlignment="1">
      <alignment horizontal="left" vertical="center" wrapText="1"/>
    </xf>
    <xf numFmtId="3" fontId="3" fillId="0" borderId="0" xfId="2" applyNumberFormat="1" applyFont="1" applyFill="1"/>
    <xf numFmtId="3" fontId="7" fillId="0" borderId="6" xfId="1" applyNumberFormat="1" applyFont="1" applyFill="1" applyBorder="1" applyAlignment="1">
      <alignment horizontal="center" vertical="center" wrapText="1"/>
    </xf>
    <xf numFmtId="49" fontId="3" fillId="0" borderId="6" xfId="3" applyNumberFormat="1" applyFont="1" applyFill="1" applyBorder="1" applyAlignment="1">
      <alignment horizontal="center" vertical="center"/>
    </xf>
    <xf numFmtId="165" fontId="9" fillId="0" borderId="6" xfId="3" applyNumberFormat="1" applyFont="1" applyFill="1" applyBorder="1" applyAlignment="1">
      <alignment horizontal="left" vertical="center" wrapText="1"/>
    </xf>
    <xf numFmtId="165" fontId="3" fillId="0" borderId="6" xfId="3" quotePrefix="1" applyNumberFormat="1" applyFont="1" applyFill="1" applyBorder="1" applyAlignment="1">
      <alignment horizontal="center" vertical="center" wrapText="1"/>
    </xf>
    <xf numFmtId="3" fontId="2" fillId="0" borderId="6" xfId="3" applyNumberFormat="1" applyFont="1" applyFill="1" applyBorder="1" applyAlignment="1">
      <alignment horizontal="center" vertical="center" wrapText="1"/>
    </xf>
    <xf numFmtId="165" fontId="6" fillId="0" borderId="6" xfId="3" quotePrefix="1" applyNumberFormat="1" applyFont="1" applyFill="1" applyBorder="1" applyAlignment="1">
      <alignment horizontal="center" vertical="center" wrapText="1"/>
    </xf>
    <xf numFmtId="165" fontId="3" fillId="0" borderId="6" xfId="3" quotePrefix="1" applyNumberFormat="1" applyFont="1" applyFill="1" applyBorder="1" applyAlignment="1">
      <alignment horizontal="left" vertical="center" wrapText="1"/>
    </xf>
    <xf numFmtId="3" fontId="10" fillId="0" borderId="6" xfId="0" applyNumberFormat="1" applyFont="1" applyBorder="1"/>
    <xf numFmtId="3" fontId="10" fillId="0" borderId="6" xfId="0" applyNumberFormat="1" applyFont="1" applyBorder="1" applyAlignment="1">
      <alignment horizontal="center"/>
    </xf>
    <xf numFmtId="3" fontId="3" fillId="0" borderId="6" xfId="3" quotePrefix="1" applyNumberFormat="1" applyFont="1" applyFill="1" applyBorder="1" applyAlignment="1">
      <alignment horizontal="left" vertical="center" wrapText="1"/>
    </xf>
    <xf numFmtId="165" fontId="11" fillId="0" borderId="6" xfId="1" applyNumberFormat="1" applyFont="1" applyBorder="1" applyAlignment="1">
      <alignment vertical="center"/>
    </xf>
    <xf numFmtId="165" fontId="0" fillId="0" borderId="6" xfId="1" applyNumberFormat="1" applyFont="1" applyBorder="1"/>
    <xf numFmtId="0" fontId="0" fillId="0" borderId="6" xfId="0" applyBorder="1"/>
    <xf numFmtId="164" fontId="12" fillId="0" borderId="6" xfId="2" quotePrefix="1" applyNumberFormat="1" applyFont="1" applyFill="1" applyBorder="1" applyAlignment="1">
      <alignment horizontal="center" vertical="center" wrapText="1"/>
    </xf>
    <xf numFmtId="165" fontId="13" fillId="0" borderId="6" xfId="3" quotePrefix="1" applyNumberFormat="1" applyFont="1" applyFill="1" applyBorder="1" applyAlignment="1">
      <alignment horizontal="left" vertical="center" wrapText="1"/>
    </xf>
    <xf numFmtId="49" fontId="3" fillId="0" borderId="0" xfId="3" applyNumberFormat="1" applyFont="1" applyFill="1" applyBorder="1" applyAlignment="1">
      <alignment horizontal="center" vertical="center"/>
    </xf>
    <xf numFmtId="165" fontId="3" fillId="0" borderId="0" xfId="3" applyNumberFormat="1" applyFont="1" applyFill="1" applyBorder="1" applyAlignment="1">
      <alignment vertical="center"/>
    </xf>
    <xf numFmtId="164" fontId="3" fillId="0" borderId="0" xfId="3" quotePrefix="1" applyNumberFormat="1" applyFont="1" applyFill="1" applyBorder="1" applyAlignment="1">
      <alignment horizontal="center" vertical="center"/>
    </xf>
    <xf numFmtId="3" fontId="5" fillId="0" borderId="0" xfId="0" applyNumberFormat="1" applyFont="1" applyBorder="1"/>
    <xf numFmtId="3" fontId="3" fillId="0" borderId="0" xfId="3" applyNumberFormat="1" applyFont="1" applyFill="1" applyBorder="1" applyAlignment="1">
      <alignment vertical="center"/>
    </xf>
    <xf numFmtId="3" fontId="10" fillId="0" borderId="0" xfId="0" applyNumberFormat="1" applyFont="1" applyBorder="1"/>
    <xf numFmtId="164" fontId="7" fillId="0" borderId="0" xfId="2" applyNumberFormat="1" applyFont="1" applyFill="1" applyBorder="1" applyAlignment="1">
      <alignment horizontal="center"/>
    </xf>
    <xf numFmtId="3" fontId="3" fillId="0" borderId="0" xfId="2" applyNumberFormat="1" applyFont="1" applyFill="1" applyBorder="1"/>
    <xf numFmtId="165" fontId="3" fillId="0" borderId="6" xfId="3" applyNumberFormat="1" applyFont="1" applyFill="1" applyBorder="1" applyAlignment="1">
      <alignment horizontal="left" vertical="center" wrapText="1"/>
    </xf>
    <xf numFmtId="164" fontId="3" fillId="0" borderId="6" xfId="3" quotePrefix="1" applyNumberFormat="1" applyFont="1" applyFill="1" applyBorder="1" applyAlignment="1">
      <alignment horizontal="center" vertical="center"/>
    </xf>
    <xf numFmtId="0" fontId="2" fillId="0" borderId="6" xfId="2" applyFont="1" applyFill="1" applyBorder="1" applyAlignment="1">
      <alignment horizontal="center" vertical="center" wrapText="1"/>
    </xf>
    <xf numFmtId="3" fontId="3" fillId="0" borderId="2" xfId="3" quotePrefix="1" applyNumberFormat="1" applyFont="1" applyFill="1" applyBorder="1" applyAlignment="1">
      <alignment horizontal="left" vertical="center" wrapText="1"/>
    </xf>
    <xf numFmtId="0" fontId="2" fillId="0" borderId="6" xfId="0" applyFont="1" applyBorder="1"/>
    <xf numFmtId="0" fontId="6" fillId="0" borderId="6" xfId="0" applyFont="1" applyBorder="1"/>
    <xf numFmtId="164" fontId="14" fillId="0" borderId="6" xfId="2" quotePrefix="1" applyNumberFormat="1" applyFont="1" applyFill="1" applyBorder="1" applyAlignment="1">
      <alignment horizontal="center" vertical="center" wrapText="1"/>
    </xf>
    <xf numFmtId="3" fontId="3" fillId="0" borderId="6" xfId="2" applyNumberFormat="1" applyFont="1" applyFill="1" applyBorder="1" applyAlignment="1">
      <alignment horizontal="left" vertical="center" wrapText="1"/>
    </xf>
    <xf numFmtId="164" fontId="3" fillId="0" borderId="6" xfId="4" quotePrefix="1" applyNumberFormat="1" applyFont="1" applyFill="1" applyBorder="1" applyAlignment="1">
      <alignment horizontal="center" vertical="center"/>
    </xf>
    <xf numFmtId="3" fontId="15" fillId="0" borderId="6" xfId="3" quotePrefix="1" applyNumberFormat="1" applyFont="1" applyFill="1" applyBorder="1" applyAlignment="1">
      <alignment horizontal="left" vertical="center" wrapText="1"/>
    </xf>
    <xf numFmtId="3" fontId="13" fillId="0" borderId="6" xfId="3" quotePrefix="1" applyNumberFormat="1" applyFont="1" applyFill="1" applyBorder="1" applyAlignment="1">
      <alignment horizontal="left" vertical="center" wrapText="1"/>
    </xf>
    <xf numFmtId="3" fontId="5" fillId="0" borderId="1" xfId="0" applyNumberFormat="1" applyFont="1" applyBorder="1"/>
    <xf numFmtId="3" fontId="3" fillId="0" borderId="7" xfId="3" quotePrefix="1" applyNumberFormat="1" applyFont="1" applyFill="1" applyBorder="1" applyAlignment="1">
      <alignment horizontal="left" vertical="center" wrapText="1"/>
    </xf>
    <xf numFmtId="3" fontId="10" fillId="0" borderId="1" xfId="0" applyNumberFormat="1" applyFont="1" applyBorder="1"/>
    <xf numFmtId="3" fontId="3" fillId="0" borderId="0" xfId="2" applyNumberFormat="1" applyFont="1" applyFill="1" applyBorder="1" applyAlignment="1">
      <alignment horizontal="left" vertical="center" wrapText="1"/>
    </xf>
    <xf numFmtId="164" fontId="3" fillId="0" borderId="0" xfId="4" quotePrefix="1" applyNumberFormat="1" applyFont="1" applyFill="1" applyBorder="1" applyAlignment="1">
      <alignment horizontal="center" vertical="center"/>
    </xf>
    <xf numFmtId="3" fontId="12" fillId="0" borderId="0" xfId="2" applyNumberFormat="1" applyFont="1" applyFill="1"/>
    <xf numFmtId="49" fontId="7" fillId="0" borderId="0" xfId="2" quotePrefix="1" applyNumberFormat="1" applyFont="1" applyFill="1" applyBorder="1" applyAlignment="1">
      <alignment horizontal="left" vertical="center"/>
    </xf>
    <xf numFmtId="3" fontId="7" fillId="0" borderId="0" xfId="2" applyNumberFormat="1" applyFont="1" applyFill="1" applyBorder="1" applyAlignment="1">
      <alignment vertical="center" wrapText="1"/>
    </xf>
    <xf numFmtId="164" fontId="7" fillId="0" borderId="0" xfId="2" applyNumberFormat="1" applyFont="1" applyFill="1" applyBorder="1" applyAlignment="1">
      <alignment horizontal="center" vertical="center"/>
    </xf>
    <xf numFmtId="3" fontId="16" fillId="0" borderId="6" xfId="1" applyNumberFormat="1" applyFont="1" applyFill="1" applyBorder="1" applyAlignment="1">
      <alignment horizontal="center" vertical="center" wrapText="1"/>
    </xf>
    <xf numFmtId="165" fontId="3" fillId="0" borderId="6" xfId="3" applyNumberFormat="1" applyFont="1" applyFill="1" applyBorder="1" applyAlignment="1">
      <alignment vertical="center" wrapText="1"/>
    </xf>
    <xf numFmtId="3" fontId="3" fillId="0" borderId="6" xfId="3" applyNumberFormat="1" applyFont="1" applyFill="1" applyBorder="1" applyAlignment="1">
      <alignment horizontal="center" vertical="center" wrapText="1"/>
    </xf>
    <xf numFmtId="165" fontId="3" fillId="0" borderId="6" xfId="3" applyNumberFormat="1" applyFont="1" applyFill="1" applyBorder="1" applyAlignment="1">
      <alignment vertical="center"/>
    </xf>
    <xf numFmtId="164" fontId="3" fillId="0" borderId="6" xfId="3" quotePrefix="1" applyNumberFormat="1" applyFont="1" applyFill="1" applyBorder="1" applyAlignment="1">
      <alignment horizontal="center"/>
    </xf>
    <xf numFmtId="3" fontId="3" fillId="0" borderId="6" xfId="2" applyNumberFormat="1" applyFont="1" applyFill="1" applyBorder="1" applyAlignment="1">
      <alignment vertical="center" wrapText="1"/>
    </xf>
    <xf numFmtId="49" fontId="12" fillId="0" borderId="0" xfId="2" applyNumberFormat="1" applyFont="1" applyFill="1" applyAlignment="1">
      <alignment horizontal="center" vertical="center"/>
    </xf>
    <xf numFmtId="3" fontId="12" fillId="0" borderId="0" xfId="2" applyNumberFormat="1" applyFont="1" applyFill="1" applyAlignment="1">
      <alignment wrapText="1"/>
    </xf>
    <xf numFmtId="164" fontId="12" fillId="0" borderId="0" xfId="2" applyNumberFormat="1" applyFont="1" applyFill="1" applyAlignment="1">
      <alignment horizontal="center"/>
    </xf>
    <xf numFmtId="165" fontId="9" fillId="0" borderId="6" xfId="3" applyNumberFormat="1" applyFont="1" applyFill="1" applyBorder="1" applyAlignment="1">
      <alignment vertical="center" wrapText="1"/>
    </xf>
    <xf numFmtId="165" fontId="3" fillId="0" borderId="6" xfId="3" quotePrefix="1" applyNumberFormat="1" applyFont="1" applyFill="1" applyBorder="1" applyAlignment="1">
      <alignment horizontal="center" vertical="center"/>
    </xf>
    <xf numFmtId="3" fontId="5" fillId="0" borderId="6" xfId="0" applyNumberFormat="1" applyFont="1" applyBorder="1"/>
    <xf numFmtId="3" fontId="3" fillId="0" borderId="6" xfId="2" quotePrefix="1" applyNumberFormat="1" applyFont="1" applyFill="1" applyBorder="1" applyAlignment="1">
      <alignment horizontal="left" vertical="center" wrapText="1"/>
    </xf>
    <xf numFmtId="165" fontId="9" fillId="0" borderId="6" xfId="3" applyNumberFormat="1" applyFont="1" applyFill="1" applyBorder="1" applyAlignment="1">
      <alignment vertical="center"/>
    </xf>
    <xf numFmtId="164" fontId="3" fillId="0" borderId="6" xfId="3" quotePrefix="1" applyNumberFormat="1" applyFont="1" applyFill="1" applyBorder="1" applyAlignment="1">
      <alignment horizontal="center" vertical="center" wrapText="1"/>
    </xf>
    <xf numFmtId="0" fontId="13" fillId="0" borderId="6" xfId="0" applyFont="1" applyBorder="1" applyAlignment="1">
      <alignment wrapText="1"/>
    </xf>
    <xf numFmtId="0" fontId="13" fillId="0" borderId="6" xfId="0" applyFont="1" applyBorder="1" applyAlignment="1">
      <alignment horizontal="center" vertical="center" wrapText="1"/>
    </xf>
    <xf numFmtId="3" fontId="13" fillId="0" borderId="6" xfId="3" applyNumberFormat="1" applyFont="1" applyFill="1" applyBorder="1" applyAlignment="1">
      <alignment horizontal="center" vertical="center" wrapText="1"/>
    </xf>
    <xf numFmtId="164" fontId="17" fillId="0" borderId="6" xfId="2" quotePrefix="1" applyNumberFormat="1" applyFont="1" applyFill="1" applyBorder="1" applyAlignment="1">
      <alignment horizontal="center" vertical="center" wrapText="1"/>
    </xf>
    <xf numFmtId="0" fontId="3" fillId="0" borderId="6" xfId="0" applyFont="1" applyBorder="1" applyAlignment="1">
      <alignment horizontal="left" vertical="center" wrapText="1"/>
    </xf>
    <xf numFmtId="0" fontId="3" fillId="0" borderId="6" xfId="0" applyFont="1" applyBorder="1" applyAlignment="1">
      <alignment horizontal="center" vertical="center" wrapText="1"/>
    </xf>
    <xf numFmtId="3" fontId="10" fillId="0" borderId="4" xfId="0" applyNumberFormat="1" applyFont="1" applyBorder="1"/>
    <xf numFmtId="3" fontId="12" fillId="0" borderId="6" xfId="2" applyNumberFormat="1" applyFont="1" applyFill="1" applyBorder="1"/>
    <xf numFmtId="3" fontId="12" fillId="0" borderId="0" xfId="2" applyNumberFormat="1" applyFont="1" applyFill="1" applyBorder="1"/>
    <xf numFmtId="0" fontId="6" fillId="0" borderId="0" xfId="0" applyFont="1" applyBorder="1"/>
    <xf numFmtId="49" fontId="7" fillId="0" borderId="0" xfId="3" applyNumberFormat="1" applyFont="1" applyFill="1" applyBorder="1" applyAlignment="1">
      <alignment horizontal="center" vertical="center"/>
    </xf>
    <xf numFmtId="164" fontId="7" fillId="0" borderId="0" xfId="2" applyNumberFormat="1" applyFont="1" applyFill="1" applyAlignment="1">
      <alignment horizontal="center" vertical="center"/>
    </xf>
    <xf numFmtId="3" fontId="5" fillId="0" borderId="5" xfId="0" applyNumberFormat="1" applyFont="1" applyBorder="1"/>
    <xf numFmtId="3" fontId="10" fillId="0" borderId="5" xfId="0" applyNumberFormat="1" applyFont="1" applyBorder="1"/>
    <xf numFmtId="0" fontId="3" fillId="0" borderId="6" xfId="2" applyFont="1" applyFill="1" applyBorder="1" applyAlignment="1">
      <alignment horizontal="center" vertical="center" wrapText="1"/>
    </xf>
    <xf numFmtId="0" fontId="3" fillId="0" borderId="6" xfId="4" applyFont="1" applyFill="1" applyBorder="1" applyAlignment="1">
      <alignment vertical="center" wrapText="1"/>
    </xf>
    <xf numFmtId="164" fontId="3" fillId="0" borderId="6" xfId="4" quotePrefix="1" applyNumberFormat="1" applyFont="1" applyFill="1" applyBorder="1" applyAlignment="1">
      <alignment horizontal="center"/>
    </xf>
    <xf numFmtId="3" fontId="3" fillId="0" borderId="1" xfId="2" applyNumberFormat="1" applyFont="1" applyFill="1" applyBorder="1" applyAlignment="1">
      <alignment vertical="center" wrapText="1"/>
    </xf>
    <xf numFmtId="164" fontId="3" fillId="0" borderId="1" xfId="4" quotePrefix="1" applyNumberFormat="1" applyFont="1" applyFill="1" applyBorder="1" applyAlignment="1">
      <alignment horizontal="center" vertical="center"/>
    </xf>
    <xf numFmtId="164" fontId="13" fillId="0" borderId="6" xfId="3" quotePrefix="1" applyNumberFormat="1" applyFont="1" applyFill="1" applyBorder="1" applyAlignment="1">
      <alignment horizontal="left" vertical="center" wrapText="1"/>
    </xf>
    <xf numFmtId="164" fontId="3" fillId="0" borderId="1" xfId="3" quotePrefix="1" applyNumberFormat="1" applyFont="1" applyFill="1" applyBorder="1" applyAlignment="1">
      <alignment horizontal="center" vertical="center"/>
    </xf>
    <xf numFmtId="3" fontId="9" fillId="0" borderId="6" xfId="2" applyNumberFormat="1" applyFont="1" applyFill="1" applyBorder="1" applyAlignment="1">
      <alignment vertical="center" wrapText="1"/>
    </xf>
    <xf numFmtId="0" fontId="18" fillId="0" borderId="6" xfId="0" applyNumberFormat="1" applyFont="1" applyFill="1" applyBorder="1" applyAlignment="1">
      <alignment horizontal="center" vertical="center"/>
    </xf>
    <xf numFmtId="168" fontId="0" fillId="0" borderId="0" xfId="0" applyNumberFormat="1"/>
    <xf numFmtId="3" fontId="7" fillId="0" borderId="0" xfId="2" applyNumberFormat="1" applyFont="1" applyFill="1" applyAlignment="1">
      <alignment horizontal="center" vertical="center"/>
    </xf>
    <xf numFmtId="3" fontId="2" fillId="0" borderId="0" xfId="3" applyNumberFormat="1" applyFont="1" applyFill="1" applyBorder="1" applyAlignment="1">
      <alignment horizontal="center" vertical="center" wrapText="1"/>
    </xf>
    <xf numFmtId="164" fontId="14" fillId="0" borderId="0" xfId="2" quotePrefix="1" applyNumberFormat="1" applyFont="1" applyFill="1" applyBorder="1" applyAlignment="1">
      <alignment horizontal="center" vertical="center" wrapText="1"/>
    </xf>
    <xf numFmtId="3" fontId="13" fillId="0" borderId="0" xfId="3" quotePrefix="1" applyNumberFormat="1" applyFont="1" applyFill="1" applyBorder="1" applyAlignment="1">
      <alignment horizontal="left" vertical="center" wrapText="1"/>
    </xf>
    <xf numFmtId="3" fontId="3" fillId="0" borderId="0" xfId="3" quotePrefix="1" applyNumberFormat="1" applyFont="1" applyFill="1" applyBorder="1" applyAlignment="1">
      <alignment horizontal="left" vertical="center" wrapText="1"/>
    </xf>
    <xf numFmtId="0" fontId="2" fillId="0" borderId="0" xfId="0" applyFont="1" applyBorder="1"/>
    <xf numFmtId="0" fontId="19" fillId="0" borderId="0" xfId="0" applyFont="1" applyAlignment="1">
      <alignment horizontal="left" vertical="center" wrapText="1"/>
    </xf>
    <xf numFmtId="165" fontId="7" fillId="0" borderId="6" xfId="1" applyNumberFormat="1" applyFont="1" applyBorder="1" applyAlignment="1">
      <alignment horizontal="center" vertical="center" wrapText="1"/>
    </xf>
    <xf numFmtId="165" fontId="7" fillId="0" borderId="6" xfId="1" applyNumberFormat="1" applyFont="1" applyBorder="1" applyAlignment="1">
      <alignment horizontal="center" vertical="center"/>
    </xf>
    <xf numFmtId="49" fontId="7" fillId="0" borderId="1" xfId="3" applyNumberFormat="1" applyFont="1" applyFill="1" applyBorder="1" applyAlignment="1">
      <alignment horizontal="center" vertical="center"/>
    </xf>
    <xf numFmtId="49" fontId="7" fillId="0" borderId="5" xfId="3" applyNumberFormat="1" applyFont="1" applyFill="1" applyBorder="1" applyAlignment="1">
      <alignment horizontal="center" vertical="center"/>
    </xf>
    <xf numFmtId="165" fontId="7" fillId="0" borderId="6" xfId="3" applyNumberFormat="1" applyFont="1" applyFill="1" applyBorder="1" applyAlignment="1">
      <alignment horizontal="center" vertical="center" wrapText="1"/>
    </xf>
    <xf numFmtId="164" fontId="7" fillId="0" borderId="6" xfId="3" applyNumberFormat="1" applyFont="1" applyFill="1" applyBorder="1" applyAlignment="1">
      <alignment horizontal="center" vertical="center" wrapText="1"/>
    </xf>
    <xf numFmtId="164" fontId="7" fillId="0" borderId="1" xfId="3" applyNumberFormat="1" applyFont="1" applyFill="1" applyBorder="1" applyAlignment="1">
      <alignment horizontal="center" vertical="center" wrapText="1"/>
    </xf>
    <xf numFmtId="164" fontId="7" fillId="0" borderId="5" xfId="3" applyNumberFormat="1" applyFont="1" applyFill="1" applyBorder="1" applyAlignment="1">
      <alignment horizontal="center" vertical="center" wrapText="1"/>
    </xf>
    <xf numFmtId="3" fontId="7" fillId="0" borderId="6" xfId="1" applyNumberFormat="1" applyFont="1" applyFill="1" applyBorder="1" applyAlignment="1">
      <alignment horizontal="center" vertical="center" wrapText="1"/>
    </xf>
    <xf numFmtId="3" fontId="16" fillId="0" borderId="6" xfId="0" applyNumberFormat="1" applyFont="1" applyBorder="1" applyAlignment="1">
      <alignment horizontal="center" vertical="center" wrapText="1"/>
    </xf>
    <xf numFmtId="3" fontId="7" fillId="0" borderId="6" xfId="0" applyNumberFormat="1" applyFont="1" applyBorder="1" applyAlignment="1">
      <alignment horizontal="center" vertical="center" wrapText="1"/>
    </xf>
    <xf numFmtId="165" fontId="7" fillId="0" borderId="1" xfId="3" applyNumberFormat="1" applyFont="1" applyFill="1" applyBorder="1" applyAlignment="1">
      <alignment horizontal="center" vertical="center" wrapText="1"/>
    </xf>
    <xf numFmtId="165" fontId="7" fillId="0" borderId="5" xfId="3" applyNumberFormat="1" applyFont="1" applyFill="1" applyBorder="1" applyAlignment="1">
      <alignment horizontal="center" vertical="center" wrapText="1"/>
    </xf>
    <xf numFmtId="3" fontId="7" fillId="0" borderId="2" xfId="1" applyNumberFormat="1" applyFont="1" applyFill="1" applyBorder="1" applyAlignment="1">
      <alignment horizontal="center" vertical="center" wrapText="1"/>
    </xf>
    <xf numFmtId="3" fontId="7" fillId="0" borderId="3" xfId="1" applyNumberFormat="1" applyFont="1" applyFill="1" applyBorder="1" applyAlignment="1">
      <alignment horizontal="center" vertical="center" wrapText="1"/>
    </xf>
    <xf numFmtId="3" fontId="7" fillId="0" borderId="4" xfId="1" applyNumberFormat="1" applyFont="1" applyFill="1" applyBorder="1" applyAlignment="1">
      <alignment horizontal="center" vertical="center" wrapText="1"/>
    </xf>
    <xf numFmtId="167" fontId="7" fillId="0" borderId="2" xfId="3" applyNumberFormat="1" applyFont="1" applyFill="1" applyBorder="1" applyAlignment="1">
      <alignment horizontal="center" vertical="center" wrapText="1"/>
    </xf>
    <xf numFmtId="49" fontId="7" fillId="0" borderId="6" xfId="3" applyNumberFormat="1" applyFont="1" applyFill="1" applyBorder="1" applyAlignment="1">
      <alignment horizontal="center" vertical="center"/>
    </xf>
    <xf numFmtId="165" fontId="7" fillId="0" borderId="1" xfId="1" applyNumberFormat="1" applyFont="1" applyBorder="1" applyAlignment="1">
      <alignment horizontal="center" vertical="center" wrapText="1"/>
    </xf>
    <xf numFmtId="165" fontId="7" fillId="0" borderId="5" xfId="1" applyNumberFormat="1" applyFont="1" applyBorder="1" applyAlignment="1">
      <alignment horizontal="center" vertical="center" wrapText="1"/>
    </xf>
    <xf numFmtId="165" fontId="7" fillId="0" borderId="1" xfId="1" applyNumberFormat="1" applyFont="1" applyBorder="1" applyAlignment="1">
      <alignment horizontal="center" vertical="center"/>
    </xf>
    <xf numFmtId="165" fontId="7" fillId="0" borderId="5" xfId="1" applyNumberFormat="1" applyFont="1" applyBorder="1" applyAlignment="1">
      <alignment horizontal="center" vertical="center"/>
    </xf>
    <xf numFmtId="49" fontId="7" fillId="0" borderId="1" xfId="3" applyNumberFormat="1" applyFont="1" applyFill="1" applyBorder="1" applyAlignment="1">
      <alignment horizontal="center" vertical="center" wrapText="1"/>
    </xf>
    <xf numFmtId="49" fontId="7" fillId="0" borderId="5" xfId="3" applyNumberFormat="1" applyFont="1" applyFill="1" applyBorder="1" applyAlignment="1">
      <alignment horizontal="center" vertical="center" wrapText="1"/>
    </xf>
    <xf numFmtId="3" fontId="7" fillId="0" borderId="1" xfId="0" applyNumberFormat="1" applyFont="1" applyBorder="1" applyAlignment="1">
      <alignment horizontal="center" vertical="center" wrapText="1"/>
    </xf>
    <xf numFmtId="3" fontId="7" fillId="0" borderId="5" xfId="0" applyNumberFormat="1" applyFont="1" applyBorder="1" applyAlignment="1">
      <alignment horizontal="center" vertical="center" wrapText="1"/>
    </xf>
    <xf numFmtId="167" fontId="7" fillId="0" borderId="1" xfId="3" applyNumberFormat="1" applyFont="1" applyFill="1" applyBorder="1" applyAlignment="1">
      <alignment horizontal="center" vertical="center" wrapText="1"/>
    </xf>
    <xf numFmtId="167" fontId="7" fillId="0" borderId="5" xfId="3" applyNumberFormat="1" applyFont="1" applyFill="1" applyBorder="1" applyAlignment="1">
      <alignment horizontal="center" vertical="center" wrapText="1"/>
    </xf>
    <xf numFmtId="49" fontId="2" fillId="0" borderId="0" xfId="2" applyNumberFormat="1" applyFont="1" applyFill="1" applyAlignment="1">
      <alignment horizontal="center" vertical="center"/>
    </xf>
    <xf numFmtId="49" fontId="6" fillId="0" borderId="0" xfId="2" applyNumberFormat="1" applyFont="1" applyFill="1" applyAlignment="1">
      <alignment horizontal="center" vertical="center"/>
    </xf>
    <xf numFmtId="3" fontId="8" fillId="0" borderId="0" xfId="2" applyNumberFormat="1" applyFont="1" applyFill="1" applyAlignment="1">
      <alignment horizontal="center" wrapText="1"/>
    </xf>
    <xf numFmtId="3" fontId="7" fillId="0" borderId="0" xfId="2" applyNumberFormat="1" applyFont="1" applyFill="1" applyAlignment="1">
      <alignment horizontal="center" vertical="center"/>
    </xf>
    <xf numFmtId="49" fontId="7" fillId="0" borderId="1" xfId="3" applyNumberFormat="1" applyFont="1" applyFill="1" applyBorder="1" applyAlignment="1">
      <alignment vertical="center" wrapText="1"/>
    </xf>
    <xf numFmtId="49" fontId="7" fillId="0" borderId="5" xfId="3" applyNumberFormat="1" applyFont="1" applyFill="1" applyBorder="1" applyAlignment="1">
      <alignment vertical="center" wrapText="1"/>
    </xf>
  </cellXfs>
  <cellStyles count="5">
    <cellStyle name="Comma" xfId="1" builtinId="3"/>
    <cellStyle name="Comma 2 2" xfId="3"/>
    <cellStyle name="Normal" xfId="0" builtinId="0"/>
    <cellStyle name="Normal 2 2" xfId="2"/>
    <cellStyle name="Normal 3 2" xfId="4"/>
  </cellStyles>
  <dxfs count="2">
    <dxf>
      <font>
        <b/>
        <i val="0"/>
      </font>
    </dxf>
    <dxf>
      <font>
        <b/>
        <i val="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77"/>
  <sheetViews>
    <sheetView tabSelected="1" topLeftCell="C100" zoomScaleNormal="100" workbookViewId="0">
      <selection activeCell="F107" sqref="F107"/>
    </sheetView>
  </sheetViews>
  <sheetFormatPr defaultRowHeight="13.8" x14ac:dyDescent="0.25"/>
  <cols>
    <col min="1" max="1" width="6.6640625" style="61" customWidth="1"/>
    <col min="2" max="2" width="49.109375" style="62" customWidth="1"/>
    <col min="3" max="3" width="10.88671875" style="63" bestFit="1" customWidth="1"/>
    <col min="4" max="4" width="44.88671875" style="63" customWidth="1"/>
    <col min="5" max="5" width="35.6640625" style="63" customWidth="1"/>
    <col min="6" max="6" width="31.88671875" style="63" customWidth="1"/>
    <col min="7" max="10" width="9" style="2" hidden="1" customWidth="1"/>
    <col min="11" max="12" width="10.6640625" style="2" hidden="1" customWidth="1"/>
    <col min="13" max="13" width="14" style="2" hidden="1" customWidth="1"/>
    <col min="14" max="14" width="43.5546875" style="51" hidden="1" customWidth="1"/>
    <col min="15" max="15" width="10.44140625" hidden="1" customWidth="1"/>
    <col min="16" max="16" width="12.33203125" style="4" hidden="1" customWidth="1"/>
    <col min="17" max="17" width="9.88671875" style="4" hidden="1" customWidth="1"/>
    <col min="18" max="18" width="11.88671875" hidden="1" customWidth="1"/>
    <col min="19" max="19" width="33.88671875" hidden="1" customWidth="1"/>
    <col min="20" max="21" width="0" hidden="1" customWidth="1"/>
    <col min="22" max="22" width="1" hidden="1" customWidth="1"/>
  </cols>
  <sheetData>
    <row r="1" spans="1:18" ht="16.8" x14ac:dyDescent="0.3">
      <c r="A1" s="129" t="s">
        <v>0</v>
      </c>
      <c r="B1" s="129"/>
      <c r="C1" s="1"/>
      <c r="D1" s="1"/>
      <c r="E1" s="1"/>
      <c r="F1" s="1"/>
      <c r="N1" s="3"/>
    </row>
    <row r="2" spans="1:18" ht="16.8" x14ac:dyDescent="0.3">
      <c r="A2" s="130" t="s">
        <v>1</v>
      </c>
      <c r="B2" s="130"/>
      <c r="C2" s="5"/>
      <c r="D2" s="5"/>
      <c r="E2" s="5"/>
      <c r="F2" s="5"/>
      <c r="N2" s="3"/>
    </row>
    <row r="3" spans="1:18" ht="16.8" x14ac:dyDescent="0.3">
      <c r="A3" s="6"/>
      <c r="B3" s="7"/>
      <c r="C3" s="1"/>
      <c r="D3" s="1"/>
      <c r="E3" s="1"/>
      <c r="F3" s="1"/>
      <c r="N3" s="8"/>
    </row>
    <row r="4" spans="1:18" ht="33" customHeight="1" x14ac:dyDescent="0.35">
      <c r="A4" s="131" t="s">
        <v>2</v>
      </c>
      <c r="B4" s="131"/>
      <c r="C4" s="131"/>
      <c r="D4" s="131"/>
      <c r="E4" s="131"/>
      <c r="F4" s="131"/>
      <c r="G4" s="131"/>
      <c r="H4" s="131"/>
      <c r="I4" s="131"/>
      <c r="J4" s="131"/>
      <c r="K4" s="131"/>
      <c r="L4" s="131"/>
      <c r="M4" s="131"/>
      <c r="N4" s="131"/>
      <c r="O4" s="131"/>
      <c r="P4" s="131"/>
      <c r="Q4" s="131"/>
      <c r="R4" s="131"/>
    </row>
    <row r="5" spans="1:18" ht="16.8" x14ac:dyDescent="0.25">
      <c r="A5" s="132" t="s">
        <v>3</v>
      </c>
      <c r="B5" s="132"/>
      <c r="C5" s="132"/>
      <c r="D5" s="132"/>
      <c r="E5" s="132"/>
      <c r="F5" s="132"/>
      <c r="G5" s="132"/>
      <c r="H5" s="132"/>
      <c r="I5" s="132"/>
      <c r="J5" s="132"/>
      <c r="K5" s="132"/>
      <c r="L5" s="132"/>
      <c r="M5" s="132"/>
      <c r="N5"/>
    </row>
    <row r="6" spans="1:18" ht="16.8" x14ac:dyDescent="0.25">
      <c r="A6" s="132" t="s">
        <v>4</v>
      </c>
      <c r="B6" s="132"/>
      <c r="C6" s="132"/>
      <c r="D6" s="132"/>
      <c r="E6" s="132"/>
      <c r="F6" s="132"/>
      <c r="G6" s="9"/>
      <c r="H6" s="9"/>
      <c r="I6" s="9"/>
      <c r="J6" s="9"/>
      <c r="K6" s="9"/>
      <c r="L6" s="9"/>
      <c r="M6" s="9"/>
      <c r="N6"/>
    </row>
    <row r="7" spans="1:18" ht="16.8" x14ac:dyDescent="0.25">
      <c r="A7" s="94"/>
      <c r="B7" s="94"/>
      <c r="C7" s="94"/>
      <c r="D7" s="94"/>
      <c r="E7" s="94"/>
      <c r="F7" s="94"/>
      <c r="G7" s="94"/>
      <c r="H7" s="94"/>
      <c r="I7" s="94"/>
      <c r="J7" s="94"/>
      <c r="K7" s="94"/>
      <c r="L7" s="94"/>
      <c r="M7" s="94"/>
      <c r="N7"/>
    </row>
    <row r="8" spans="1:18" ht="28.5" customHeight="1" x14ac:dyDescent="0.3">
      <c r="A8" s="10" t="s">
        <v>5</v>
      </c>
      <c r="B8" s="10" t="s">
        <v>6</v>
      </c>
      <c r="C8" s="5"/>
      <c r="D8" s="5"/>
      <c r="E8" s="5"/>
      <c r="F8" s="5"/>
      <c r="N8" s="11"/>
    </row>
    <row r="9" spans="1:18" ht="29.25" customHeight="1" x14ac:dyDescent="0.25">
      <c r="A9" s="133" t="s">
        <v>7</v>
      </c>
      <c r="B9" s="112" t="s">
        <v>8</v>
      </c>
      <c r="C9" s="107" t="s">
        <v>9</v>
      </c>
      <c r="D9" s="107" t="s">
        <v>10</v>
      </c>
      <c r="E9" s="107" t="s">
        <v>11</v>
      </c>
      <c r="F9" s="107" t="s">
        <v>12</v>
      </c>
      <c r="G9" s="114" t="s">
        <v>13</v>
      </c>
      <c r="H9" s="115"/>
      <c r="I9" s="115"/>
      <c r="J9" s="115"/>
      <c r="K9" s="115"/>
      <c r="L9" s="116"/>
      <c r="M9" s="125" t="s">
        <v>14</v>
      </c>
      <c r="N9" s="127" t="s">
        <v>12</v>
      </c>
      <c r="O9" s="125" t="s">
        <v>15</v>
      </c>
      <c r="P9" s="119" t="s">
        <v>16</v>
      </c>
      <c r="Q9" s="119" t="s">
        <v>17</v>
      </c>
      <c r="R9" s="121" t="s">
        <v>12</v>
      </c>
    </row>
    <row r="10" spans="1:18" ht="66" customHeight="1" x14ac:dyDescent="0.25">
      <c r="A10" s="134"/>
      <c r="B10" s="113"/>
      <c r="C10" s="108"/>
      <c r="D10" s="108"/>
      <c r="E10" s="108"/>
      <c r="F10" s="108"/>
      <c r="G10" s="12" t="s">
        <v>18</v>
      </c>
      <c r="H10" s="12" t="s">
        <v>19</v>
      </c>
      <c r="I10" s="12" t="s">
        <v>20</v>
      </c>
      <c r="J10" s="12" t="s">
        <v>21</v>
      </c>
      <c r="K10" s="12" t="s">
        <v>22</v>
      </c>
      <c r="L10" s="12" t="s">
        <v>22</v>
      </c>
      <c r="M10" s="126" t="s">
        <v>23</v>
      </c>
      <c r="N10" s="128"/>
      <c r="O10" s="126"/>
      <c r="P10" s="120"/>
      <c r="Q10" s="120"/>
      <c r="R10" s="122"/>
    </row>
    <row r="11" spans="1:18" ht="114.75" customHeight="1" x14ac:dyDescent="0.3">
      <c r="A11" s="13">
        <v>1</v>
      </c>
      <c r="B11" s="14" t="s">
        <v>24</v>
      </c>
      <c r="C11" s="15" t="s">
        <v>25</v>
      </c>
      <c r="D11" s="16" t="s">
        <v>26</v>
      </c>
      <c r="E11" s="17" t="s">
        <v>27</v>
      </c>
      <c r="F11" s="18" t="s">
        <v>28</v>
      </c>
      <c r="G11" s="19">
        <f>M11*33.79%</f>
        <v>100194.10799999999</v>
      </c>
      <c r="H11" s="19">
        <f>M11*4.12%</f>
        <v>12216.624</v>
      </c>
      <c r="I11" s="19">
        <f>M11*13.45%</f>
        <v>39881.939999999995</v>
      </c>
      <c r="J11" s="19">
        <f>M11*25.44%</f>
        <v>75434.688000000009</v>
      </c>
      <c r="K11" s="20" t="s">
        <v>29</v>
      </c>
      <c r="L11" s="20" t="s">
        <v>30</v>
      </c>
      <c r="M11" s="19">
        <v>296520</v>
      </c>
      <c r="N11" s="21" t="s">
        <v>31</v>
      </c>
      <c r="O11" s="19">
        <v>251595</v>
      </c>
      <c r="P11" s="22">
        <v>92432</v>
      </c>
      <c r="Q11" s="23"/>
      <c r="R11" s="24"/>
    </row>
    <row r="12" spans="1:18" ht="117" customHeight="1" x14ac:dyDescent="0.3">
      <c r="A12" s="13">
        <v>2</v>
      </c>
      <c r="B12" s="14" t="s">
        <v>32</v>
      </c>
      <c r="C12" s="15" t="s">
        <v>33</v>
      </c>
      <c r="D12" s="16" t="s">
        <v>34</v>
      </c>
      <c r="E12" s="25" t="s">
        <v>35</v>
      </c>
      <c r="F12" s="18" t="s">
        <v>36</v>
      </c>
      <c r="G12" s="19">
        <f>M12*33.79%</f>
        <v>27780.786399999997</v>
      </c>
      <c r="H12" s="19">
        <f>M12*4.12%</f>
        <v>3387.2991999999999</v>
      </c>
      <c r="I12" s="19">
        <f>M12*13.45%</f>
        <v>11058.051999999998</v>
      </c>
      <c r="J12" s="19">
        <f>M12*25.44%</f>
        <v>20915.750400000001</v>
      </c>
      <c r="K12" s="20" t="s">
        <v>29</v>
      </c>
      <c r="L12" s="20" t="s">
        <v>30</v>
      </c>
      <c r="M12" s="19">
        <v>82216</v>
      </c>
      <c r="N12" s="21" t="s">
        <v>37</v>
      </c>
      <c r="O12" s="19">
        <v>55850</v>
      </c>
      <c r="P12" s="22">
        <v>10436</v>
      </c>
      <c r="Q12" s="23"/>
      <c r="R12" s="24"/>
    </row>
    <row r="13" spans="1:18" ht="115.5" customHeight="1" x14ac:dyDescent="0.3">
      <c r="A13" s="13">
        <v>3</v>
      </c>
      <c r="B13" s="14" t="s">
        <v>38</v>
      </c>
      <c r="C13" s="15" t="s">
        <v>39</v>
      </c>
      <c r="D13" s="16" t="s">
        <v>40</v>
      </c>
      <c r="E13" s="17" t="s">
        <v>27</v>
      </c>
      <c r="F13" s="26" t="s">
        <v>41</v>
      </c>
      <c r="G13" s="19">
        <f>M13*33.79%</f>
        <v>87441.086199999991</v>
      </c>
      <c r="H13" s="19">
        <f>M13*4.12%</f>
        <v>10661.6536</v>
      </c>
      <c r="I13" s="19">
        <f>M13*13.45%</f>
        <v>34805.640999999996</v>
      </c>
      <c r="J13" s="19">
        <f>M13*25.44%</f>
        <v>65833.123200000002</v>
      </c>
      <c r="K13" s="20" t="s">
        <v>29</v>
      </c>
      <c r="L13" s="20" t="s">
        <v>30</v>
      </c>
      <c r="M13" s="19">
        <v>258778</v>
      </c>
      <c r="N13" s="21" t="s">
        <v>42</v>
      </c>
      <c r="O13" s="19">
        <v>177092</v>
      </c>
      <c r="P13" s="22">
        <v>39414</v>
      </c>
      <c r="Q13" s="23"/>
      <c r="R13" s="24"/>
    </row>
    <row r="14" spans="1:18" ht="16.8" x14ac:dyDescent="0.3">
      <c r="A14" s="27"/>
      <c r="B14" s="28"/>
      <c r="C14" s="29"/>
      <c r="D14" s="29"/>
      <c r="E14" s="29"/>
      <c r="F14" s="29"/>
      <c r="G14" s="30"/>
      <c r="H14" s="30"/>
      <c r="I14" s="30"/>
      <c r="J14" s="30"/>
      <c r="K14" s="30"/>
      <c r="L14" s="30"/>
      <c r="M14" s="30"/>
      <c r="N14" s="31"/>
      <c r="O14" s="32"/>
    </row>
    <row r="15" spans="1:18" ht="16.8" x14ac:dyDescent="0.3">
      <c r="A15" s="10" t="s">
        <v>43</v>
      </c>
      <c r="B15" s="10" t="s">
        <v>44</v>
      </c>
      <c r="C15" s="33"/>
      <c r="D15" s="33"/>
      <c r="E15" s="33"/>
      <c r="F15" s="33"/>
      <c r="G15" s="30"/>
      <c r="H15" s="30"/>
      <c r="I15" s="30"/>
      <c r="J15" s="30"/>
      <c r="K15" s="30"/>
      <c r="L15" s="30"/>
      <c r="M15" s="30"/>
      <c r="N15" s="34"/>
      <c r="O15" s="32"/>
    </row>
    <row r="16" spans="1:18" ht="26.25" customHeight="1" x14ac:dyDescent="0.25">
      <c r="A16" s="123" t="s">
        <v>7</v>
      </c>
      <c r="B16" s="112" t="s">
        <v>8</v>
      </c>
      <c r="C16" s="107" t="s">
        <v>9</v>
      </c>
      <c r="D16" s="107" t="s">
        <v>10</v>
      </c>
      <c r="E16" s="106" t="s">
        <v>11</v>
      </c>
      <c r="F16" s="107" t="s">
        <v>12</v>
      </c>
      <c r="G16" s="114" t="s">
        <v>13</v>
      </c>
      <c r="H16" s="115"/>
      <c r="I16" s="115"/>
      <c r="J16" s="115"/>
      <c r="K16" s="115"/>
      <c r="L16" s="116"/>
      <c r="M16" s="111" t="s">
        <v>14</v>
      </c>
      <c r="N16" s="117" t="s">
        <v>12</v>
      </c>
      <c r="O16" s="111" t="s">
        <v>15</v>
      </c>
      <c r="P16" s="101" t="s">
        <v>16</v>
      </c>
      <c r="Q16" s="101" t="s">
        <v>17</v>
      </c>
      <c r="R16" s="102" t="s">
        <v>12</v>
      </c>
    </row>
    <row r="17" spans="1:18" ht="25.5" customHeight="1" x14ac:dyDescent="0.25">
      <c r="A17" s="124"/>
      <c r="B17" s="113"/>
      <c r="C17" s="108"/>
      <c r="D17" s="108"/>
      <c r="E17" s="106"/>
      <c r="F17" s="108"/>
      <c r="G17" s="12" t="s">
        <v>18</v>
      </c>
      <c r="H17" s="12" t="s">
        <v>19</v>
      </c>
      <c r="I17" s="12" t="s">
        <v>20</v>
      </c>
      <c r="J17" s="12" t="s">
        <v>21</v>
      </c>
      <c r="K17" s="12" t="s">
        <v>45</v>
      </c>
      <c r="L17" s="12" t="s">
        <v>46</v>
      </c>
      <c r="M17" s="111" t="s">
        <v>23</v>
      </c>
      <c r="N17" s="117"/>
      <c r="O17" s="111"/>
      <c r="P17" s="102"/>
      <c r="Q17" s="102"/>
      <c r="R17" s="102"/>
    </row>
    <row r="18" spans="1:18" ht="31.5" customHeight="1" x14ac:dyDescent="0.3">
      <c r="A18" s="13" t="s">
        <v>47</v>
      </c>
      <c r="B18" s="35" t="s">
        <v>48</v>
      </c>
      <c r="C18" s="36" t="s">
        <v>49</v>
      </c>
      <c r="D18" s="37" t="s">
        <v>50</v>
      </c>
      <c r="E18" s="25" t="s">
        <v>35</v>
      </c>
      <c r="F18" s="21" t="s">
        <v>31</v>
      </c>
      <c r="G18" s="19">
        <f>M18*33.79%</f>
        <v>37192.990899999997</v>
      </c>
      <c r="H18" s="19">
        <f>M18*4.12%</f>
        <v>4534.9251999999997</v>
      </c>
      <c r="I18" s="19">
        <f>M18*13.45%</f>
        <v>14804.549499999997</v>
      </c>
      <c r="J18" s="19">
        <f>M18*25.44%</f>
        <v>28002.062400000003</v>
      </c>
      <c r="K18" s="19">
        <f t="shared" ref="K18:K31" si="0">M18*23.17%</f>
        <v>25503.450700000001</v>
      </c>
      <c r="L18" s="19">
        <v>24228.278165</v>
      </c>
      <c r="M18" s="19">
        <v>110071</v>
      </c>
      <c r="N18" s="38" t="s">
        <v>31</v>
      </c>
      <c r="O18" s="19">
        <v>20850</v>
      </c>
      <c r="P18" s="19">
        <v>5326</v>
      </c>
      <c r="Q18" s="19">
        <f t="shared" ref="Q18:Q31" si="1">L18-P18</f>
        <v>18902.278165</v>
      </c>
      <c r="R18" s="39" t="str">
        <f>IF(Q18&gt;0,"Được Đk","Vượt mức")</f>
        <v>Được Đk</v>
      </c>
    </row>
    <row r="19" spans="1:18" ht="33.75" customHeight="1" x14ac:dyDescent="0.3">
      <c r="A19" s="13" t="s">
        <v>51</v>
      </c>
      <c r="B19" s="35" t="s">
        <v>52</v>
      </c>
      <c r="C19" s="36" t="s">
        <v>53</v>
      </c>
      <c r="D19" s="37" t="s">
        <v>54</v>
      </c>
      <c r="E19" s="25" t="s">
        <v>35</v>
      </c>
      <c r="F19" s="21" t="s">
        <v>31</v>
      </c>
      <c r="G19" s="19">
        <f t="shared" ref="G19:G31" si="2">M19*33.79%</f>
        <v>0</v>
      </c>
      <c r="H19" s="19">
        <f t="shared" ref="H19:H31" si="3">M19*4.12%</f>
        <v>0</v>
      </c>
      <c r="I19" s="19">
        <f t="shared" ref="I19:I31" si="4">M19*13.45%</f>
        <v>0</v>
      </c>
      <c r="J19" s="19">
        <f t="shared" ref="J19:J31" si="5">M19*25.44%</f>
        <v>0</v>
      </c>
      <c r="K19" s="19">
        <f t="shared" si="0"/>
        <v>0</v>
      </c>
      <c r="L19" s="19">
        <v>0</v>
      </c>
      <c r="M19" s="19"/>
      <c r="N19" s="38" t="s">
        <v>31</v>
      </c>
      <c r="O19" s="19">
        <v>14389</v>
      </c>
      <c r="P19" s="19">
        <v>3429</v>
      </c>
      <c r="Q19" s="19">
        <f t="shared" si="1"/>
        <v>-3429</v>
      </c>
      <c r="R19" s="39" t="s">
        <v>55</v>
      </c>
    </row>
    <row r="20" spans="1:18" ht="111" customHeight="1" x14ac:dyDescent="0.3">
      <c r="A20" s="13" t="s">
        <v>56</v>
      </c>
      <c r="B20" s="35" t="s">
        <v>57</v>
      </c>
      <c r="C20" s="36" t="s">
        <v>58</v>
      </c>
      <c r="D20" s="16" t="s">
        <v>59</v>
      </c>
      <c r="E20" s="17" t="s">
        <v>60</v>
      </c>
      <c r="F20" s="21" t="s">
        <v>31</v>
      </c>
      <c r="G20" s="19">
        <f t="shared" si="2"/>
        <v>59660.637699999999</v>
      </c>
      <c r="H20" s="19">
        <f t="shared" si="3"/>
        <v>7274.3955999999998</v>
      </c>
      <c r="I20" s="19">
        <f t="shared" si="4"/>
        <v>23747.723499999996</v>
      </c>
      <c r="J20" s="19">
        <f t="shared" si="5"/>
        <v>44917.627200000003</v>
      </c>
      <c r="K20" s="19">
        <f t="shared" si="0"/>
        <v>40909.647100000002</v>
      </c>
      <c r="L20" s="19">
        <v>38864.164745000002</v>
      </c>
      <c r="M20" s="19">
        <v>176563</v>
      </c>
      <c r="N20" s="38" t="s">
        <v>31</v>
      </c>
      <c r="O20" s="19">
        <v>142096</v>
      </c>
      <c r="P20" s="19">
        <v>45540</v>
      </c>
      <c r="Q20" s="19">
        <f t="shared" si="1"/>
        <v>-6675.8352549999981</v>
      </c>
      <c r="R20" s="40" t="str">
        <f t="shared" ref="R20:R31" si="6">IF(Q20&gt;0,"Được Đk","Vượt mức")</f>
        <v>Vượt mức</v>
      </c>
    </row>
    <row r="21" spans="1:18" ht="65.400000000000006" customHeight="1" x14ac:dyDescent="0.3">
      <c r="A21" s="13" t="s">
        <v>61</v>
      </c>
      <c r="B21" s="35" t="s">
        <v>62</v>
      </c>
      <c r="C21" s="36" t="s">
        <v>63</v>
      </c>
      <c r="D21" s="16" t="s">
        <v>64</v>
      </c>
      <c r="E21" s="41" t="s">
        <v>65</v>
      </c>
      <c r="F21" s="21" t="s">
        <v>36</v>
      </c>
      <c r="G21" s="19">
        <f t="shared" si="2"/>
        <v>81009.159699999989</v>
      </c>
      <c r="H21" s="19">
        <f t="shared" si="3"/>
        <v>9877.4115999999995</v>
      </c>
      <c r="I21" s="19">
        <f t="shared" si="4"/>
        <v>32245.433499999996</v>
      </c>
      <c r="J21" s="19">
        <f t="shared" si="5"/>
        <v>60990.619200000001</v>
      </c>
      <c r="K21" s="19">
        <f t="shared" si="0"/>
        <v>55548.453100000006</v>
      </c>
      <c r="L21" s="19">
        <v>52771.030445000004</v>
      </c>
      <c r="M21" s="19">
        <v>239743</v>
      </c>
      <c r="N21" s="38" t="s">
        <v>36</v>
      </c>
      <c r="O21" s="19">
        <v>222054</v>
      </c>
      <c r="P21" s="19">
        <v>109791</v>
      </c>
      <c r="Q21" s="19">
        <f t="shared" si="1"/>
        <v>-57019.969554999996</v>
      </c>
      <c r="R21" s="40" t="str">
        <f t="shared" si="6"/>
        <v>Vượt mức</v>
      </c>
    </row>
    <row r="22" spans="1:18" ht="111" customHeight="1" x14ac:dyDescent="0.3">
      <c r="A22" s="13" t="s">
        <v>66</v>
      </c>
      <c r="B22" s="35" t="s">
        <v>67</v>
      </c>
      <c r="C22" s="36" t="s">
        <v>68</v>
      </c>
      <c r="D22" s="16" t="s">
        <v>69</v>
      </c>
      <c r="E22" s="17" t="s">
        <v>70</v>
      </c>
      <c r="F22" s="21" t="s">
        <v>42</v>
      </c>
      <c r="G22" s="19">
        <f t="shared" si="2"/>
        <v>126893.27649999999</v>
      </c>
      <c r="H22" s="19">
        <f t="shared" si="3"/>
        <v>15472.041999999999</v>
      </c>
      <c r="I22" s="19">
        <f t="shared" si="4"/>
        <v>50509.45749999999</v>
      </c>
      <c r="J22" s="19">
        <f t="shared" si="5"/>
        <v>95536.104000000007</v>
      </c>
      <c r="K22" s="19">
        <f t="shared" si="0"/>
        <v>87011.459500000012</v>
      </c>
      <c r="L22" s="19">
        <v>82660.886525000009</v>
      </c>
      <c r="M22" s="19">
        <v>375535</v>
      </c>
      <c r="N22" s="38" t="s">
        <v>42</v>
      </c>
      <c r="O22" s="19">
        <v>258232</v>
      </c>
      <c r="P22" s="19">
        <v>79082</v>
      </c>
      <c r="Q22" s="19">
        <f t="shared" si="1"/>
        <v>3578.886525000009</v>
      </c>
      <c r="R22" s="39" t="str">
        <f t="shared" si="6"/>
        <v>Được Đk</v>
      </c>
    </row>
    <row r="23" spans="1:18" ht="47.25" customHeight="1" x14ac:dyDescent="0.3">
      <c r="A23" s="13" t="s">
        <v>71</v>
      </c>
      <c r="B23" s="35" t="s">
        <v>72</v>
      </c>
      <c r="C23" s="36" t="s">
        <v>73</v>
      </c>
      <c r="D23" s="16" t="s">
        <v>74</v>
      </c>
      <c r="E23" s="41" t="s">
        <v>65</v>
      </c>
      <c r="F23" s="21" t="s">
        <v>31</v>
      </c>
      <c r="G23" s="19">
        <f t="shared" si="2"/>
        <v>68939.03379999999</v>
      </c>
      <c r="H23" s="19">
        <f t="shared" si="3"/>
        <v>8405.7064000000009</v>
      </c>
      <c r="I23" s="19">
        <f t="shared" si="4"/>
        <v>27440.958999999995</v>
      </c>
      <c r="J23" s="19">
        <f t="shared" si="5"/>
        <v>51903.196800000005</v>
      </c>
      <c r="K23" s="19">
        <f t="shared" si="0"/>
        <v>47271.897400000002</v>
      </c>
      <c r="L23" s="19">
        <v>44908.302530000001</v>
      </c>
      <c r="M23" s="19">
        <v>204022</v>
      </c>
      <c r="N23" s="38" t="s">
        <v>31</v>
      </c>
      <c r="O23" s="19">
        <v>91182</v>
      </c>
      <c r="P23" s="19">
        <v>27032</v>
      </c>
      <c r="Q23" s="19">
        <f t="shared" si="1"/>
        <v>17876.302530000001</v>
      </c>
      <c r="R23" s="39" t="str">
        <f t="shared" si="6"/>
        <v>Được Đk</v>
      </c>
    </row>
    <row r="24" spans="1:18" ht="111" customHeight="1" x14ac:dyDescent="0.3">
      <c r="A24" s="13" t="s">
        <v>75</v>
      </c>
      <c r="B24" s="35" t="s">
        <v>76</v>
      </c>
      <c r="C24" s="36" t="s">
        <v>77</v>
      </c>
      <c r="D24" s="16" t="s">
        <v>78</v>
      </c>
      <c r="E24" s="17" t="s">
        <v>60</v>
      </c>
      <c r="F24" s="21" t="s">
        <v>79</v>
      </c>
      <c r="G24" s="19">
        <f t="shared" si="2"/>
        <v>74234.940499999997</v>
      </c>
      <c r="H24" s="19">
        <f t="shared" si="3"/>
        <v>9051.4339999999993</v>
      </c>
      <c r="I24" s="19">
        <f t="shared" si="4"/>
        <v>29548.977499999997</v>
      </c>
      <c r="J24" s="19">
        <f t="shared" si="5"/>
        <v>55890.408000000003</v>
      </c>
      <c r="K24" s="19">
        <f t="shared" si="0"/>
        <v>50903.3315</v>
      </c>
      <c r="L24" s="19">
        <v>48358.164924999997</v>
      </c>
      <c r="M24" s="19">
        <v>219695</v>
      </c>
      <c r="N24" s="38" t="s">
        <v>80</v>
      </c>
      <c r="O24" s="19">
        <v>155919</v>
      </c>
      <c r="P24" s="19">
        <v>95384</v>
      </c>
      <c r="Q24" s="19">
        <f t="shared" si="1"/>
        <v>-47025.835075000003</v>
      </c>
      <c r="R24" s="40" t="str">
        <f t="shared" si="6"/>
        <v>Vượt mức</v>
      </c>
    </row>
    <row r="25" spans="1:18" ht="111.75" customHeight="1" x14ac:dyDescent="0.3">
      <c r="A25" s="13" t="s">
        <v>81</v>
      </c>
      <c r="B25" s="35" t="s">
        <v>82</v>
      </c>
      <c r="C25" s="36" t="s">
        <v>83</v>
      </c>
      <c r="D25" s="16" t="s">
        <v>84</v>
      </c>
      <c r="E25" s="17" t="s">
        <v>60</v>
      </c>
      <c r="F25" s="21" t="s">
        <v>85</v>
      </c>
      <c r="G25" s="19">
        <f t="shared" si="2"/>
        <v>72982.683099999995</v>
      </c>
      <c r="H25" s="19">
        <f t="shared" si="3"/>
        <v>8898.7468000000008</v>
      </c>
      <c r="I25" s="19">
        <f t="shared" si="4"/>
        <v>29050.520499999995</v>
      </c>
      <c r="J25" s="19">
        <f t="shared" si="5"/>
        <v>54947.601600000002</v>
      </c>
      <c r="K25" s="19">
        <f t="shared" si="0"/>
        <v>50044.651300000005</v>
      </c>
      <c r="L25" s="19">
        <v>47542.418734999999</v>
      </c>
      <c r="M25" s="19">
        <v>215989</v>
      </c>
      <c r="N25" s="38" t="s">
        <v>86</v>
      </c>
      <c r="O25" s="19">
        <v>186163</v>
      </c>
      <c r="P25" s="19">
        <v>92539</v>
      </c>
      <c r="Q25" s="19">
        <f t="shared" si="1"/>
        <v>-44996.581265000001</v>
      </c>
      <c r="R25" s="40" t="str">
        <f t="shared" si="6"/>
        <v>Vượt mức</v>
      </c>
    </row>
    <row r="26" spans="1:18" ht="69" customHeight="1" x14ac:dyDescent="0.3">
      <c r="A26" s="13" t="s">
        <v>87</v>
      </c>
      <c r="B26" s="35" t="s">
        <v>88</v>
      </c>
      <c r="C26" s="36" t="s">
        <v>89</v>
      </c>
      <c r="D26" s="16" t="s">
        <v>90</v>
      </c>
      <c r="E26" s="25" t="s">
        <v>35</v>
      </c>
      <c r="F26" s="21" t="s">
        <v>85</v>
      </c>
      <c r="G26" s="19">
        <f t="shared" si="2"/>
        <v>42981.217899999996</v>
      </c>
      <c r="H26" s="19">
        <f t="shared" si="3"/>
        <v>5240.6812</v>
      </c>
      <c r="I26" s="19">
        <f t="shared" si="4"/>
        <v>17108.534499999998</v>
      </c>
      <c r="J26" s="19">
        <f t="shared" si="5"/>
        <v>32359.934400000002</v>
      </c>
      <c r="K26" s="19">
        <f t="shared" si="0"/>
        <v>29472.471700000002</v>
      </c>
      <c r="L26" s="19">
        <v>27998.848115000001</v>
      </c>
      <c r="M26" s="19">
        <v>127201</v>
      </c>
      <c r="N26" s="38" t="s">
        <v>31</v>
      </c>
      <c r="O26" s="19">
        <v>58199</v>
      </c>
      <c r="P26" s="19">
        <v>10839</v>
      </c>
      <c r="Q26" s="19">
        <f t="shared" si="1"/>
        <v>17159.848115000001</v>
      </c>
      <c r="R26" s="39" t="str">
        <f t="shared" si="6"/>
        <v>Được Đk</v>
      </c>
    </row>
    <row r="27" spans="1:18" ht="44.25" customHeight="1" x14ac:dyDescent="0.3">
      <c r="A27" s="13" t="s">
        <v>91</v>
      </c>
      <c r="B27" s="35" t="s">
        <v>92</v>
      </c>
      <c r="C27" s="36" t="s">
        <v>93</v>
      </c>
      <c r="D27" s="16" t="s">
        <v>94</v>
      </c>
      <c r="E27" s="25" t="s">
        <v>35</v>
      </c>
      <c r="F27" s="21" t="s">
        <v>95</v>
      </c>
      <c r="G27" s="19">
        <f t="shared" si="2"/>
        <v>16167.163399999999</v>
      </c>
      <c r="H27" s="19">
        <f t="shared" si="3"/>
        <v>1971.2552000000001</v>
      </c>
      <c r="I27" s="19">
        <f t="shared" si="4"/>
        <v>6435.2869999999994</v>
      </c>
      <c r="J27" s="19">
        <f t="shared" si="5"/>
        <v>12172.0224</v>
      </c>
      <c r="K27" s="19">
        <f t="shared" si="0"/>
        <v>11085.9182</v>
      </c>
      <c r="L27" s="19">
        <v>10531.622289999999</v>
      </c>
      <c r="M27" s="19">
        <v>47846</v>
      </c>
      <c r="N27" s="38" t="s">
        <v>95</v>
      </c>
      <c r="O27" s="19"/>
      <c r="P27" s="19">
        <v>2275</v>
      </c>
      <c r="Q27" s="19">
        <f t="shared" si="1"/>
        <v>8256.6222899999993</v>
      </c>
      <c r="R27" s="39" t="str">
        <f t="shared" si="6"/>
        <v>Được Đk</v>
      </c>
    </row>
    <row r="28" spans="1:18" ht="66.75" customHeight="1" x14ac:dyDescent="0.3">
      <c r="A28" s="13" t="s">
        <v>96</v>
      </c>
      <c r="B28" s="42" t="s">
        <v>97</v>
      </c>
      <c r="C28" s="43" t="s">
        <v>98</v>
      </c>
      <c r="D28" s="16" t="s">
        <v>99</v>
      </c>
      <c r="E28" s="25" t="s">
        <v>35</v>
      </c>
      <c r="F28" s="44" t="s">
        <v>100</v>
      </c>
      <c r="G28" s="19">
        <f t="shared" si="2"/>
        <v>35335.216699999997</v>
      </c>
      <c r="H28" s="19">
        <f t="shared" si="3"/>
        <v>4308.4076000000005</v>
      </c>
      <c r="I28" s="19">
        <f t="shared" si="4"/>
        <v>14065.068499999998</v>
      </c>
      <c r="J28" s="19">
        <f t="shared" si="5"/>
        <v>26603.371200000001</v>
      </c>
      <c r="K28" s="19">
        <f t="shared" si="0"/>
        <v>24229.564100000003</v>
      </c>
      <c r="L28" s="19">
        <v>23018.085895000004</v>
      </c>
      <c r="M28" s="19">
        <v>104573</v>
      </c>
      <c r="N28" s="38" t="s">
        <v>100</v>
      </c>
      <c r="O28" s="19">
        <v>8115</v>
      </c>
      <c r="P28" s="19">
        <v>2992</v>
      </c>
      <c r="Q28" s="19">
        <f t="shared" si="1"/>
        <v>20026.085895000004</v>
      </c>
      <c r="R28" s="39" t="str">
        <f t="shared" si="6"/>
        <v>Được Đk</v>
      </c>
    </row>
    <row r="29" spans="1:18" ht="117" customHeight="1" x14ac:dyDescent="0.3">
      <c r="A29" s="13" t="s">
        <v>101</v>
      </c>
      <c r="B29" s="42" t="s">
        <v>102</v>
      </c>
      <c r="C29" s="43" t="s">
        <v>103</v>
      </c>
      <c r="D29" s="16" t="s">
        <v>104</v>
      </c>
      <c r="E29" s="17" t="s">
        <v>70</v>
      </c>
      <c r="F29" s="21" t="s">
        <v>105</v>
      </c>
      <c r="G29" s="19">
        <f t="shared" si="2"/>
        <v>37544.7448</v>
      </c>
      <c r="H29" s="19">
        <f t="shared" si="3"/>
        <v>4577.8144000000002</v>
      </c>
      <c r="I29" s="19">
        <f t="shared" si="4"/>
        <v>14944.563999999998</v>
      </c>
      <c r="J29" s="19">
        <f t="shared" si="5"/>
        <v>28266.892800000001</v>
      </c>
      <c r="K29" s="19">
        <f t="shared" si="0"/>
        <v>25744.650400000002</v>
      </c>
      <c r="L29" s="19">
        <v>24457.417880000001</v>
      </c>
      <c r="M29" s="19">
        <v>111112</v>
      </c>
      <c r="N29" s="38" t="s">
        <v>95</v>
      </c>
      <c r="O29" s="19">
        <v>83898</v>
      </c>
      <c r="P29" s="19">
        <v>42613</v>
      </c>
      <c r="Q29" s="19">
        <f t="shared" si="1"/>
        <v>-18155.582119999999</v>
      </c>
      <c r="R29" s="40" t="str">
        <f t="shared" si="6"/>
        <v>Vượt mức</v>
      </c>
    </row>
    <row r="30" spans="1:18" ht="44.25" customHeight="1" x14ac:dyDescent="0.3">
      <c r="A30" s="13" t="s">
        <v>106</v>
      </c>
      <c r="B30" s="42" t="s">
        <v>107</v>
      </c>
      <c r="C30" s="43" t="s">
        <v>108</v>
      </c>
      <c r="D30" s="37" t="s">
        <v>109</v>
      </c>
      <c r="E30" s="25" t="s">
        <v>35</v>
      </c>
      <c r="F30" s="21" t="s">
        <v>110</v>
      </c>
      <c r="G30" s="19">
        <f t="shared" si="2"/>
        <v>27097.890499999998</v>
      </c>
      <c r="H30" s="19">
        <f t="shared" si="3"/>
        <v>3304.0340000000001</v>
      </c>
      <c r="I30" s="19">
        <f t="shared" si="4"/>
        <v>10786.227499999999</v>
      </c>
      <c r="J30" s="19">
        <f t="shared" si="5"/>
        <v>20401.608</v>
      </c>
      <c r="K30" s="19">
        <f t="shared" si="0"/>
        <v>18581.181500000002</v>
      </c>
      <c r="L30" s="19">
        <v>17652.122425000001</v>
      </c>
      <c r="M30" s="19">
        <v>80195</v>
      </c>
      <c r="N30" s="38" t="s">
        <v>111</v>
      </c>
      <c r="O30" s="19">
        <v>2878</v>
      </c>
      <c r="P30" s="19">
        <v>1290</v>
      </c>
      <c r="Q30" s="19">
        <f t="shared" si="1"/>
        <v>16362.122425000001</v>
      </c>
      <c r="R30" s="39" t="str">
        <f t="shared" si="6"/>
        <v>Được Đk</v>
      </c>
    </row>
    <row r="31" spans="1:18" ht="44.25" customHeight="1" x14ac:dyDescent="0.3">
      <c r="A31" s="13" t="s">
        <v>112</v>
      </c>
      <c r="B31" s="42" t="s">
        <v>113</v>
      </c>
      <c r="C31" s="43" t="s">
        <v>114</v>
      </c>
      <c r="D31" s="16" t="s">
        <v>115</v>
      </c>
      <c r="E31" s="41" t="s">
        <v>65</v>
      </c>
      <c r="F31" s="45" t="s">
        <v>116</v>
      </c>
      <c r="G31" s="46">
        <f t="shared" si="2"/>
        <v>16226.971699999998</v>
      </c>
      <c r="H31" s="46">
        <f t="shared" si="3"/>
        <v>1978.5476000000001</v>
      </c>
      <c r="I31" s="46">
        <f t="shared" si="4"/>
        <v>6459.093499999999</v>
      </c>
      <c r="J31" s="46">
        <f t="shared" si="5"/>
        <v>12217.0512</v>
      </c>
      <c r="K31" s="46">
        <f t="shared" si="0"/>
        <v>11126.929100000001</v>
      </c>
      <c r="L31" s="46">
        <v>10570.582645</v>
      </c>
      <c r="M31" s="46">
        <v>48023</v>
      </c>
      <c r="N31" s="47" t="s">
        <v>117</v>
      </c>
      <c r="O31" s="48"/>
      <c r="P31" s="19">
        <v>438</v>
      </c>
      <c r="Q31" s="19">
        <f t="shared" si="1"/>
        <v>10132.582645</v>
      </c>
      <c r="R31" s="39" t="str">
        <f t="shared" si="6"/>
        <v>Được Đk</v>
      </c>
    </row>
    <row r="32" spans="1:18" ht="44.25" customHeight="1" x14ac:dyDescent="0.3">
      <c r="A32" s="27"/>
      <c r="B32" s="49"/>
      <c r="C32" s="50"/>
      <c r="D32" s="95"/>
      <c r="E32" s="96"/>
      <c r="F32" s="97"/>
      <c r="G32" s="30"/>
      <c r="H32" s="30"/>
      <c r="I32" s="30"/>
      <c r="J32" s="30"/>
      <c r="K32" s="30"/>
      <c r="L32" s="30"/>
      <c r="M32" s="30"/>
      <c r="N32" s="98"/>
      <c r="O32" s="32"/>
      <c r="P32" s="32"/>
      <c r="Q32" s="32"/>
      <c r="R32" s="99"/>
    </row>
    <row r="33" spans="1:22" ht="16.8" x14ac:dyDescent="0.3">
      <c r="A33" s="27"/>
      <c r="B33" s="49"/>
      <c r="C33" s="50"/>
      <c r="D33" s="50"/>
      <c r="E33" s="50"/>
      <c r="F33" s="50"/>
      <c r="O33" s="32"/>
    </row>
    <row r="34" spans="1:22" ht="33.6" x14ac:dyDescent="0.3">
      <c r="A34" s="52" t="s">
        <v>118</v>
      </c>
      <c r="B34" s="53" t="s">
        <v>119</v>
      </c>
      <c r="C34" s="54"/>
      <c r="D34" s="54"/>
      <c r="E34" s="54"/>
      <c r="F34" s="54"/>
      <c r="G34" s="30"/>
      <c r="H34" s="30"/>
      <c r="I34" s="30"/>
      <c r="J34" s="30"/>
      <c r="K34" s="30"/>
      <c r="L34" s="30"/>
      <c r="M34" s="30"/>
      <c r="O34" s="32"/>
    </row>
    <row r="35" spans="1:22" ht="16.5" customHeight="1" x14ac:dyDescent="0.25">
      <c r="A35" s="118" t="s">
        <v>7</v>
      </c>
      <c r="B35" s="105" t="s">
        <v>8</v>
      </c>
      <c r="C35" s="106" t="s">
        <v>9</v>
      </c>
      <c r="D35" s="107" t="s">
        <v>10</v>
      </c>
      <c r="E35" s="106" t="s">
        <v>11</v>
      </c>
      <c r="F35" s="107" t="s">
        <v>12</v>
      </c>
      <c r="G35" s="114" t="s">
        <v>13</v>
      </c>
      <c r="H35" s="115"/>
      <c r="I35" s="115"/>
      <c r="J35" s="115"/>
      <c r="K35" s="115"/>
      <c r="L35" s="116"/>
      <c r="M35" s="110" t="s">
        <v>14</v>
      </c>
      <c r="O35" s="111" t="s">
        <v>15</v>
      </c>
      <c r="P35" s="101" t="s">
        <v>16</v>
      </c>
      <c r="Q35" s="101" t="s">
        <v>17</v>
      </c>
      <c r="R35" s="102" t="s">
        <v>12</v>
      </c>
    </row>
    <row r="36" spans="1:22" ht="67.2" x14ac:dyDescent="0.25">
      <c r="A36" s="118"/>
      <c r="B36" s="105"/>
      <c r="C36" s="106"/>
      <c r="D36" s="108"/>
      <c r="E36" s="106"/>
      <c r="F36" s="108"/>
      <c r="G36" s="55" t="s">
        <v>120</v>
      </c>
      <c r="H36" s="55" t="s">
        <v>121</v>
      </c>
      <c r="I36" s="55" t="s">
        <v>122</v>
      </c>
      <c r="J36" s="55" t="s">
        <v>123</v>
      </c>
      <c r="K36" s="55" t="s">
        <v>124</v>
      </c>
      <c r="L36" s="12" t="s">
        <v>46</v>
      </c>
      <c r="M36" s="110" t="s">
        <v>23</v>
      </c>
      <c r="O36" s="111"/>
      <c r="P36" s="102"/>
      <c r="Q36" s="102"/>
      <c r="R36" s="102"/>
    </row>
    <row r="37" spans="1:22" ht="67.2" x14ac:dyDescent="0.3">
      <c r="A37" s="13" t="s">
        <v>47</v>
      </c>
      <c r="B37" s="56" t="s">
        <v>125</v>
      </c>
      <c r="C37" s="36" t="s">
        <v>126</v>
      </c>
      <c r="D37" s="57" t="s">
        <v>127</v>
      </c>
      <c r="E37" s="25" t="s">
        <v>35</v>
      </c>
      <c r="F37" s="21" t="s">
        <v>128</v>
      </c>
      <c r="G37" s="19">
        <f>M37*33.79%</f>
        <v>44757.558199999999</v>
      </c>
      <c r="H37" s="19">
        <f>M37*4.12%</f>
        <v>5457.2695999999996</v>
      </c>
      <c r="I37" s="19">
        <f>M37*13.45%</f>
        <v>17815.600999999999</v>
      </c>
      <c r="J37" s="19">
        <f>M37*25.44%</f>
        <v>33697.315200000005</v>
      </c>
      <c r="K37" s="19">
        <f>M37*23.17%</f>
        <v>30690.518600000003</v>
      </c>
      <c r="L37" s="19">
        <v>29155.992670000003</v>
      </c>
      <c r="M37" s="19">
        <v>132458</v>
      </c>
      <c r="O37" s="19">
        <v>70014</v>
      </c>
      <c r="P37" s="19">
        <v>28610</v>
      </c>
      <c r="Q37" s="19">
        <f>L37-P37</f>
        <v>545.99267000000327</v>
      </c>
      <c r="R37" s="39" t="str">
        <f>IF(Q37&gt;0,"Được Đk","Vượt mức")</f>
        <v>Được Đk</v>
      </c>
    </row>
    <row r="38" spans="1:22" ht="33.6" x14ac:dyDescent="0.3">
      <c r="A38" s="13" t="s">
        <v>51</v>
      </c>
      <c r="B38" s="56" t="s">
        <v>129</v>
      </c>
      <c r="C38" s="36" t="s">
        <v>130</v>
      </c>
      <c r="D38" s="57" t="s">
        <v>131</v>
      </c>
      <c r="E38" s="25" t="s">
        <v>35</v>
      </c>
      <c r="F38" s="21" t="s">
        <v>132</v>
      </c>
      <c r="G38" s="19">
        <f>M38*33.79%</f>
        <v>0</v>
      </c>
      <c r="H38" s="19">
        <f>M38*4.12%</f>
        <v>0</v>
      </c>
      <c r="I38" s="19">
        <f>M38*13.45%</f>
        <v>0</v>
      </c>
      <c r="J38" s="19">
        <f>M38*25.44%</f>
        <v>0</v>
      </c>
      <c r="K38" s="19">
        <f>M38*23.17%</f>
        <v>0</v>
      </c>
      <c r="L38" s="19">
        <v>0</v>
      </c>
      <c r="M38" s="19">
        <v>0</v>
      </c>
      <c r="O38" s="19">
        <v>22892</v>
      </c>
      <c r="P38" s="19">
        <v>5157</v>
      </c>
      <c r="Q38" s="19">
        <f>L38-P38</f>
        <v>-5157</v>
      </c>
      <c r="R38" s="40" t="str">
        <f>IF(Q38&gt;0,"Được Đk","Vượt mức")</f>
        <v>Vượt mức</v>
      </c>
    </row>
    <row r="39" spans="1:22" ht="33.6" x14ac:dyDescent="0.3">
      <c r="A39" s="13" t="s">
        <v>56</v>
      </c>
      <c r="B39" s="58" t="s">
        <v>133</v>
      </c>
      <c r="C39" s="59" t="s">
        <v>134</v>
      </c>
      <c r="D39" s="57" t="s">
        <v>135</v>
      </c>
      <c r="E39" s="25" t="s">
        <v>35</v>
      </c>
      <c r="F39" s="21" t="s">
        <v>136</v>
      </c>
      <c r="G39" s="19">
        <f>M39*33.79%</f>
        <v>77481.821599999996</v>
      </c>
      <c r="H39" s="19">
        <f>M39*4.12%</f>
        <v>9447.3248000000003</v>
      </c>
      <c r="I39" s="19">
        <f>M39*13.45%</f>
        <v>30841.387999999995</v>
      </c>
      <c r="J39" s="19">
        <f>M39*25.44%</f>
        <v>58334.937600000005</v>
      </c>
      <c r="K39" s="19">
        <f>M39*23.17%</f>
        <v>53129.736800000006</v>
      </c>
      <c r="L39" s="19">
        <v>50473.249960000001</v>
      </c>
      <c r="M39" s="19">
        <v>229304</v>
      </c>
      <c r="O39" s="19">
        <v>188696</v>
      </c>
      <c r="P39" s="19">
        <v>46921</v>
      </c>
      <c r="Q39" s="19">
        <f>L39-P39</f>
        <v>3552.249960000001</v>
      </c>
      <c r="R39" s="39" t="str">
        <f>IF(Q39&gt;0,"Được Đk","Vượt mức")</f>
        <v>Được Đk</v>
      </c>
    </row>
    <row r="40" spans="1:22" ht="50.4" x14ac:dyDescent="0.3">
      <c r="A40" s="13" t="s">
        <v>61</v>
      </c>
      <c r="B40" s="60" t="s">
        <v>137</v>
      </c>
      <c r="C40" s="43" t="s">
        <v>138</v>
      </c>
      <c r="D40" s="57" t="s">
        <v>139</v>
      </c>
      <c r="E40" s="25" t="s">
        <v>35</v>
      </c>
      <c r="F40" s="21" t="s">
        <v>140</v>
      </c>
      <c r="G40" s="19">
        <f>M40*33.79%</f>
        <v>0</v>
      </c>
      <c r="H40" s="19">
        <f>M40*4.12%</f>
        <v>0</v>
      </c>
      <c r="I40" s="19">
        <f>M40*13.45%</f>
        <v>0</v>
      </c>
      <c r="J40" s="19">
        <f>M40*25.44%</f>
        <v>0</v>
      </c>
      <c r="K40" s="19">
        <f>M40*23.17%</f>
        <v>0</v>
      </c>
      <c r="L40" s="19">
        <v>0</v>
      </c>
      <c r="M40" s="19">
        <v>0</v>
      </c>
      <c r="O40" s="19">
        <v>10923</v>
      </c>
      <c r="P40" s="19">
        <v>237</v>
      </c>
      <c r="Q40" s="19">
        <f>L40-P40</f>
        <v>-237</v>
      </c>
      <c r="R40" s="40" t="str">
        <f>IF(Q40&gt;0,"Được Đk","Vượt mức")</f>
        <v>Vượt mức</v>
      </c>
    </row>
    <row r="41" spans="1:22" ht="15.6" x14ac:dyDescent="0.3">
      <c r="O41" s="32"/>
    </row>
    <row r="42" spans="1:22" ht="16.8" x14ac:dyDescent="0.3">
      <c r="A42" s="52" t="s">
        <v>141</v>
      </c>
      <c r="B42" s="53" t="s">
        <v>142</v>
      </c>
      <c r="O42" s="32"/>
    </row>
    <row r="43" spans="1:22" ht="16.5" customHeight="1" x14ac:dyDescent="0.25">
      <c r="A43" s="103" t="s">
        <v>7</v>
      </c>
      <c r="B43" s="112" t="s">
        <v>8</v>
      </c>
      <c r="C43" s="106" t="s">
        <v>9</v>
      </c>
      <c r="D43" s="107" t="s">
        <v>10</v>
      </c>
      <c r="E43" s="106" t="s">
        <v>11</v>
      </c>
      <c r="F43" s="107" t="s">
        <v>12</v>
      </c>
      <c r="G43" s="114" t="s">
        <v>13</v>
      </c>
      <c r="H43" s="115"/>
      <c r="I43" s="115"/>
      <c r="J43" s="115"/>
      <c r="K43" s="115"/>
      <c r="L43" s="116"/>
      <c r="M43" s="110" t="s">
        <v>14</v>
      </c>
      <c r="O43" s="111" t="s">
        <v>15</v>
      </c>
      <c r="P43" s="101" t="s">
        <v>16</v>
      </c>
      <c r="Q43" s="101" t="s">
        <v>17</v>
      </c>
      <c r="R43" s="102" t="s">
        <v>12</v>
      </c>
    </row>
    <row r="44" spans="1:22" ht="35.25" customHeight="1" x14ac:dyDescent="0.25">
      <c r="A44" s="104"/>
      <c r="B44" s="113"/>
      <c r="C44" s="106"/>
      <c r="D44" s="108"/>
      <c r="E44" s="106"/>
      <c r="F44" s="108"/>
      <c r="G44" s="55" t="s">
        <v>120</v>
      </c>
      <c r="H44" s="55" t="s">
        <v>121</v>
      </c>
      <c r="I44" s="55" t="s">
        <v>122</v>
      </c>
      <c r="J44" s="55" t="s">
        <v>123</v>
      </c>
      <c r="K44" s="55" t="s">
        <v>124</v>
      </c>
      <c r="L44" s="12" t="s">
        <v>46</v>
      </c>
      <c r="M44" s="110" t="s">
        <v>23</v>
      </c>
      <c r="O44" s="111"/>
      <c r="P44" s="102"/>
      <c r="Q44" s="102"/>
      <c r="R44" s="102"/>
    </row>
    <row r="45" spans="1:22" ht="59.25" customHeight="1" x14ac:dyDescent="0.3">
      <c r="A45" s="13" t="s">
        <v>47</v>
      </c>
      <c r="B45" s="56" t="s">
        <v>143</v>
      </c>
      <c r="C45" s="36" t="s">
        <v>144</v>
      </c>
      <c r="D45" s="57" t="s">
        <v>145</v>
      </c>
      <c r="E45" s="25" t="s">
        <v>35</v>
      </c>
      <c r="F45" s="21" t="s">
        <v>146</v>
      </c>
      <c r="G45" s="19">
        <f t="shared" ref="G45:G72" si="7">M45*33.79%</f>
        <v>0</v>
      </c>
      <c r="H45" s="19">
        <f t="shared" ref="H45:H72" si="8">M45*4.12%</f>
        <v>0</v>
      </c>
      <c r="I45" s="19">
        <f t="shared" ref="I45:I72" si="9">M45*13.45%</f>
        <v>0</v>
      </c>
      <c r="J45" s="19">
        <f t="shared" ref="J45:J72" si="10">M45*25.44%</f>
        <v>0</v>
      </c>
      <c r="K45" s="19">
        <f t="shared" ref="K45:K72" si="11">M45*23.17%</f>
        <v>0</v>
      </c>
      <c r="L45" s="19">
        <v>0</v>
      </c>
      <c r="M45" s="19"/>
      <c r="O45" s="19">
        <v>53564</v>
      </c>
      <c r="P45" s="19">
        <v>9298</v>
      </c>
      <c r="Q45" s="19">
        <f t="shared" ref="Q45:Q72" si="12">L45-P45</f>
        <v>-9298</v>
      </c>
      <c r="R45" s="40" t="str">
        <f t="shared" ref="R45:R72" si="13">IF(Q45&gt;0,"Được Đk","Vượt mức")</f>
        <v>Vượt mức</v>
      </c>
      <c r="S45" s="64" t="s">
        <v>143</v>
      </c>
      <c r="T45" s="65" t="s">
        <v>144</v>
      </c>
      <c r="U45" s="57" t="s">
        <v>145</v>
      </c>
      <c r="V45" s="21" t="s">
        <v>146</v>
      </c>
    </row>
    <row r="46" spans="1:22" ht="59.25" customHeight="1" x14ac:dyDescent="0.3">
      <c r="A46" s="13" t="s">
        <v>51</v>
      </c>
      <c r="B46" s="56" t="s">
        <v>147</v>
      </c>
      <c r="C46" s="36" t="s">
        <v>148</v>
      </c>
      <c r="D46" s="57" t="s">
        <v>149</v>
      </c>
      <c r="E46" s="25" t="s">
        <v>35</v>
      </c>
      <c r="F46" s="21" t="s">
        <v>31</v>
      </c>
      <c r="G46" s="19">
        <f t="shared" si="7"/>
        <v>0</v>
      </c>
      <c r="H46" s="19">
        <f t="shared" si="8"/>
        <v>0</v>
      </c>
      <c r="I46" s="19">
        <f t="shared" si="9"/>
        <v>0</v>
      </c>
      <c r="J46" s="19">
        <f t="shared" si="10"/>
        <v>0</v>
      </c>
      <c r="K46" s="19">
        <f t="shared" si="11"/>
        <v>0</v>
      </c>
      <c r="L46" s="19">
        <v>0</v>
      </c>
      <c r="M46" s="66"/>
      <c r="O46" s="19">
        <v>2239</v>
      </c>
      <c r="P46" s="19">
        <v>105</v>
      </c>
      <c r="Q46" s="19">
        <f t="shared" si="12"/>
        <v>-105</v>
      </c>
      <c r="R46" s="40" t="str">
        <f t="shared" si="13"/>
        <v>Vượt mức</v>
      </c>
      <c r="S46" s="64" t="s">
        <v>147</v>
      </c>
      <c r="T46" s="65" t="s">
        <v>148</v>
      </c>
      <c r="U46" s="57" t="s">
        <v>149</v>
      </c>
      <c r="V46" s="21" t="s">
        <v>31</v>
      </c>
    </row>
    <row r="47" spans="1:22" ht="59.25" customHeight="1" x14ac:dyDescent="0.3">
      <c r="A47" s="13" t="s">
        <v>56</v>
      </c>
      <c r="B47" s="56" t="s">
        <v>150</v>
      </c>
      <c r="C47" s="36" t="s">
        <v>151</v>
      </c>
      <c r="D47" s="57" t="s">
        <v>152</v>
      </c>
      <c r="E47" s="25" t="s">
        <v>35</v>
      </c>
      <c r="F47" s="21" t="s">
        <v>153</v>
      </c>
      <c r="G47" s="19">
        <f t="shared" si="7"/>
        <v>0</v>
      </c>
      <c r="H47" s="19">
        <f t="shared" si="8"/>
        <v>0</v>
      </c>
      <c r="I47" s="19">
        <f t="shared" si="9"/>
        <v>0</v>
      </c>
      <c r="J47" s="19">
        <f t="shared" si="10"/>
        <v>0</v>
      </c>
      <c r="K47" s="19">
        <f t="shared" si="11"/>
        <v>0</v>
      </c>
      <c r="L47" s="19">
        <v>0</v>
      </c>
      <c r="M47" s="66"/>
      <c r="O47" s="19">
        <v>189630</v>
      </c>
      <c r="P47" s="19">
        <v>36978</v>
      </c>
      <c r="Q47" s="19">
        <f t="shared" si="12"/>
        <v>-36978</v>
      </c>
      <c r="R47" s="40" t="str">
        <f t="shared" si="13"/>
        <v>Vượt mức</v>
      </c>
      <c r="S47" s="64" t="s">
        <v>150</v>
      </c>
      <c r="T47" s="65" t="s">
        <v>151</v>
      </c>
      <c r="U47" s="57" t="s">
        <v>152</v>
      </c>
      <c r="V47" s="21" t="s">
        <v>153</v>
      </c>
    </row>
    <row r="48" spans="1:22" ht="59.25" customHeight="1" x14ac:dyDescent="0.3">
      <c r="A48" s="13" t="s">
        <v>61</v>
      </c>
      <c r="B48" s="56" t="s">
        <v>154</v>
      </c>
      <c r="C48" s="36" t="s">
        <v>155</v>
      </c>
      <c r="D48" s="57" t="s">
        <v>156</v>
      </c>
      <c r="E48" s="25" t="s">
        <v>35</v>
      </c>
      <c r="F48" s="21" t="s">
        <v>157</v>
      </c>
      <c r="G48" s="19">
        <f t="shared" si="7"/>
        <v>0</v>
      </c>
      <c r="H48" s="19">
        <f t="shared" si="8"/>
        <v>0</v>
      </c>
      <c r="I48" s="19">
        <f t="shared" si="9"/>
        <v>0</v>
      </c>
      <c r="J48" s="19">
        <f t="shared" si="10"/>
        <v>0</v>
      </c>
      <c r="K48" s="19">
        <f t="shared" si="11"/>
        <v>0</v>
      </c>
      <c r="L48" s="19">
        <v>0</v>
      </c>
      <c r="M48" s="66"/>
      <c r="O48" s="19">
        <v>226526</v>
      </c>
      <c r="P48" s="19">
        <v>69457</v>
      </c>
      <c r="Q48" s="19">
        <f t="shared" si="12"/>
        <v>-69457</v>
      </c>
      <c r="R48" s="40" t="str">
        <f t="shared" si="13"/>
        <v>Vượt mức</v>
      </c>
      <c r="S48" s="64" t="s">
        <v>154</v>
      </c>
      <c r="T48" s="65" t="s">
        <v>155</v>
      </c>
      <c r="U48" s="57" t="s">
        <v>156</v>
      </c>
      <c r="V48" s="21" t="s">
        <v>157</v>
      </c>
    </row>
    <row r="49" spans="1:22" ht="59.25" customHeight="1" x14ac:dyDescent="0.3">
      <c r="A49" s="13" t="s">
        <v>66</v>
      </c>
      <c r="B49" s="56" t="s">
        <v>158</v>
      </c>
      <c r="C49" s="36" t="s">
        <v>159</v>
      </c>
      <c r="D49" s="57" t="s">
        <v>160</v>
      </c>
      <c r="E49" s="25" t="s">
        <v>35</v>
      </c>
      <c r="F49" s="21" t="s">
        <v>85</v>
      </c>
      <c r="G49" s="19">
        <f t="shared" si="7"/>
        <v>0</v>
      </c>
      <c r="H49" s="19">
        <f t="shared" si="8"/>
        <v>0</v>
      </c>
      <c r="I49" s="19">
        <f t="shared" si="9"/>
        <v>0</v>
      </c>
      <c r="J49" s="19">
        <f t="shared" si="10"/>
        <v>0</v>
      </c>
      <c r="K49" s="19">
        <f t="shared" si="11"/>
        <v>0</v>
      </c>
      <c r="L49" s="19">
        <v>0</v>
      </c>
      <c r="M49" s="66"/>
      <c r="O49" s="19">
        <v>215615</v>
      </c>
      <c r="P49" s="19">
        <v>58856</v>
      </c>
      <c r="Q49" s="19">
        <f t="shared" si="12"/>
        <v>-58856</v>
      </c>
      <c r="R49" s="40" t="str">
        <f t="shared" si="13"/>
        <v>Vượt mức</v>
      </c>
      <c r="S49" s="64" t="s">
        <v>158</v>
      </c>
      <c r="T49" s="65" t="s">
        <v>159</v>
      </c>
      <c r="U49" s="57" t="s">
        <v>160</v>
      </c>
      <c r="V49" s="21" t="s">
        <v>85</v>
      </c>
    </row>
    <row r="50" spans="1:22" ht="59.25" customHeight="1" x14ac:dyDescent="0.3">
      <c r="A50" s="13" t="s">
        <v>71</v>
      </c>
      <c r="B50" s="56" t="s">
        <v>161</v>
      </c>
      <c r="C50" s="36" t="s">
        <v>162</v>
      </c>
      <c r="D50" s="57" t="s">
        <v>163</v>
      </c>
      <c r="E50" s="25" t="s">
        <v>35</v>
      </c>
      <c r="F50" s="21" t="s">
        <v>31</v>
      </c>
      <c r="G50" s="19">
        <f t="shared" si="7"/>
        <v>0</v>
      </c>
      <c r="H50" s="19">
        <f t="shared" si="8"/>
        <v>0</v>
      </c>
      <c r="I50" s="19">
        <f t="shared" si="9"/>
        <v>0</v>
      </c>
      <c r="J50" s="19">
        <f t="shared" si="10"/>
        <v>0</v>
      </c>
      <c r="K50" s="19">
        <f t="shared" si="11"/>
        <v>0</v>
      </c>
      <c r="L50" s="19">
        <v>0</v>
      </c>
      <c r="M50" s="66"/>
      <c r="O50" s="19">
        <v>707</v>
      </c>
      <c r="P50" s="19">
        <v>46</v>
      </c>
      <c r="Q50" s="19">
        <f t="shared" si="12"/>
        <v>-46</v>
      </c>
      <c r="R50" s="40" t="str">
        <f t="shared" si="13"/>
        <v>Vượt mức</v>
      </c>
      <c r="S50" s="64" t="s">
        <v>161</v>
      </c>
      <c r="T50" s="65" t="s">
        <v>162</v>
      </c>
      <c r="U50" s="57" t="s">
        <v>163</v>
      </c>
      <c r="V50" s="21" t="s">
        <v>31</v>
      </c>
    </row>
    <row r="51" spans="1:22" ht="59.25" customHeight="1" x14ac:dyDescent="0.3">
      <c r="A51" s="13" t="s">
        <v>75</v>
      </c>
      <c r="B51" s="60" t="s">
        <v>164</v>
      </c>
      <c r="C51" s="36" t="s">
        <v>165</v>
      </c>
      <c r="D51" s="57" t="s">
        <v>166</v>
      </c>
      <c r="E51" s="25" t="s">
        <v>35</v>
      </c>
      <c r="F51" s="67" t="s">
        <v>146</v>
      </c>
      <c r="G51" s="19">
        <f t="shared" si="7"/>
        <v>0</v>
      </c>
      <c r="H51" s="19">
        <f t="shared" si="8"/>
        <v>0</v>
      </c>
      <c r="I51" s="19">
        <f t="shared" si="9"/>
        <v>0</v>
      </c>
      <c r="J51" s="19">
        <f t="shared" si="10"/>
        <v>0</v>
      </c>
      <c r="K51" s="19">
        <f t="shared" si="11"/>
        <v>0</v>
      </c>
      <c r="L51" s="19">
        <v>0</v>
      </c>
      <c r="M51" s="66"/>
      <c r="O51" s="19">
        <v>4062</v>
      </c>
      <c r="P51" s="19">
        <v>53</v>
      </c>
      <c r="Q51" s="19">
        <f t="shared" si="12"/>
        <v>-53</v>
      </c>
      <c r="R51" s="40" t="str">
        <f t="shared" si="13"/>
        <v>Vượt mức</v>
      </c>
      <c r="S51" s="64" t="s">
        <v>164</v>
      </c>
      <c r="T51" s="65" t="s">
        <v>165</v>
      </c>
      <c r="U51" s="57" t="s">
        <v>166</v>
      </c>
      <c r="V51" s="67" t="s">
        <v>146</v>
      </c>
    </row>
    <row r="52" spans="1:22" ht="59.25" customHeight="1" x14ac:dyDescent="0.3">
      <c r="A52" s="13" t="s">
        <v>81</v>
      </c>
      <c r="B52" s="56" t="s">
        <v>167</v>
      </c>
      <c r="C52" s="36" t="s">
        <v>168</v>
      </c>
      <c r="D52" s="57" t="s">
        <v>169</v>
      </c>
      <c r="E52" s="25" t="s">
        <v>35</v>
      </c>
      <c r="F52" s="21" t="s">
        <v>170</v>
      </c>
      <c r="G52" s="19">
        <f t="shared" si="7"/>
        <v>181261.72439999998</v>
      </c>
      <c r="H52" s="19">
        <f t="shared" si="8"/>
        <v>22101.163199999999</v>
      </c>
      <c r="I52" s="19">
        <f t="shared" si="9"/>
        <v>72150.641999999993</v>
      </c>
      <c r="J52" s="19">
        <f t="shared" si="10"/>
        <v>136469.31840000002</v>
      </c>
      <c r="K52" s="19">
        <f t="shared" si="11"/>
        <v>124292.22120000001</v>
      </c>
      <c r="L52" s="19">
        <v>118077.61014</v>
      </c>
      <c r="M52" s="66">
        <v>536436</v>
      </c>
      <c r="O52" s="19">
        <v>338730</v>
      </c>
      <c r="P52" s="19">
        <v>75788</v>
      </c>
      <c r="Q52" s="19">
        <f t="shared" si="12"/>
        <v>42289.610140000004</v>
      </c>
      <c r="R52" s="39" t="str">
        <f t="shared" si="13"/>
        <v>Được Đk</v>
      </c>
      <c r="S52" s="64" t="s">
        <v>167</v>
      </c>
      <c r="T52" s="65" t="s">
        <v>168</v>
      </c>
      <c r="U52" s="57" t="s">
        <v>169</v>
      </c>
      <c r="V52" s="21" t="s">
        <v>170</v>
      </c>
    </row>
    <row r="53" spans="1:22" ht="59.25" customHeight="1" x14ac:dyDescent="0.3">
      <c r="A53" s="13" t="s">
        <v>87</v>
      </c>
      <c r="B53" s="58" t="s">
        <v>171</v>
      </c>
      <c r="C53" s="36" t="s">
        <v>172</v>
      </c>
      <c r="D53" s="15" t="s">
        <v>173</v>
      </c>
      <c r="E53" s="25" t="s">
        <v>35</v>
      </c>
      <c r="F53" s="67" t="s">
        <v>174</v>
      </c>
      <c r="G53" s="19">
        <f t="shared" si="7"/>
        <v>44280.781299999995</v>
      </c>
      <c r="H53" s="19">
        <f t="shared" si="8"/>
        <v>5399.1364000000003</v>
      </c>
      <c r="I53" s="19">
        <f t="shared" si="9"/>
        <v>17625.821499999998</v>
      </c>
      <c r="J53" s="19">
        <f t="shared" si="10"/>
        <v>33338.356800000001</v>
      </c>
      <c r="K53" s="19">
        <f t="shared" si="11"/>
        <v>30363.589900000003</v>
      </c>
      <c r="L53" s="19">
        <v>28845.410405000002</v>
      </c>
      <c r="M53" s="66">
        <v>131047</v>
      </c>
      <c r="O53" s="19">
        <v>97778</v>
      </c>
      <c r="P53" s="19">
        <v>20537</v>
      </c>
      <c r="Q53" s="19">
        <f t="shared" si="12"/>
        <v>8308.4104050000024</v>
      </c>
      <c r="R53" s="39" t="str">
        <f t="shared" si="13"/>
        <v>Được Đk</v>
      </c>
      <c r="S53" s="68" t="s">
        <v>171</v>
      </c>
      <c r="T53" s="65" t="s">
        <v>172</v>
      </c>
      <c r="U53" s="15" t="s">
        <v>173</v>
      </c>
      <c r="V53" s="67" t="s">
        <v>174</v>
      </c>
    </row>
    <row r="54" spans="1:22" ht="59.25" customHeight="1" x14ac:dyDescent="0.3">
      <c r="A54" s="13" t="s">
        <v>91</v>
      </c>
      <c r="B54" s="58" t="s">
        <v>175</v>
      </c>
      <c r="C54" s="36" t="s">
        <v>176</v>
      </c>
      <c r="D54" s="15" t="s">
        <v>177</v>
      </c>
      <c r="E54" s="25" t="s">
        <v>35</v>
      </c>
      <c r="F54" s="67" t="s">
        <v>174</v>
      </c>
      <c r="G54" s="19">
        <f t="shared" si="7"/>
        <v>0</v>
      </c>
      <c r="H54" s="19">
        <f t="shared" si="8"/>
        <v>0</v>
      </c>
      <c r="I54" s="19">
        <f t="shared" si="9"/>
        <v>0</v>
      </c>
      <c r="J54" s="19">
        <f t="shared" si="10"/>
        <v>0</v>
      </c>
      <c r="K54" s="19">
        <f t="shared" si="11"/>
        <v>0</v>
      </c>
      <c r="L54" s="19">
        <v>0</v>
      </c>
      <c r="M54" s="66"/>
      <c r="O54" s="19">
        <f>38700</f>
        <v>38700</v>
      </c>
      <c r="P54" s="19">
        <v>7325</v>
      </c>
      <c r="Q54" s="19">
        <f t="shared" si="12"/>
        <v>-7325</v>
      </c>
      <c r="R54" s="40" t="str">
        <f t="shared" si="13"/>
        <v>Vượt mức</v>
      </c>
      <c r="S54" s="68" t="s">
        <v>175</v>
      </c>
      <c r="T54" s="65" t="s">
        <v>176</v>
      </c>
      <c r="U54" s="15" t="s">
        <v>177</v>
      </c>
      <c r="V54" s="67" t="s">
        <v>174</v>
      </c>
    </row>
    <row r="55" spans="1:22" ht="59.25" customHeight="1" x14ac:dyDescent="0.3">
      <c r="A55" s="13" t="s">
        <v>96</v>
      </c>
      <c r="B55" s="56" t="s">
        <v>178</v>
      </c>
      <c r="C55" s="36" t="s">
        <v>179</v>
      </c>
      <c r="D55" s="57" t="s">
        <v>180</v>
      </c>
      <c r="E55" s="25" t="s">
        <v>35</v>
      </c>
      <c r="F55" s="67" t="s">
        <v>181</v>
      </c>
      <c r="G55" s="19">
        <f t="shared" si="7"/>
        <v>73267.532800000001</v>
      </c>
      <c r="H55" s="19">
        <f t="shared" si="8"/>
        <v>8933.4784</v>
      </c>
      <c r="I55" s="19">
        <f t="shared" si="9"/>
        <v>29163.903999999995</v>
      </c>
      <c r="J55" s="19">
        <f t="shared" si="10"/>
        <v>55162.060800000007</v>
      </c>
      <c r="K55" s="19">
        <f t="shared" si="11"/>
        <v>50239.974400000006</v>
      </c>
      <c r="L55" s="19">
        <v>47727.975680000003</v>
      </c>
      <c r="M55" s="66">
        <v>216832</v>
      </c>
      <c r="O55" s="19">
        <v>113435</v>
      </c>
      <c r="P55" s="19">
        <v>30371</v>
      </c>
      <c r="Q55" s="19">
        <f t="shared" si="12"/>
        <v>17356.975680000003</v>
      </c>
      <c r="R55" s="39" t="str">
        <f t="shared" si="13"/>
        <v>Được Đk</v>
      </c>
      <c r="S55" s="64" t="s">
        <v>178</v>
      </c>
      <c r="T55" s="65" t="s">
        <v>179</v>
      </c>
      <c r="U55" s="57" t="s">
        <v>180</v>
      </c>
      <c r="V55" s="67" t="s">
        <v>181</v>
      </c>
    </row>
    <row r="56" spans="1:22" ht="59.25" customHeight="1" x14ac:dyDescent="0.3">
      <c r="A56" s="13" t="s">
        <v>101</v>
      </c>
      <c r="B56" s="56" t="s">
        <v>182</v>
      </c>
      <c r="C56" s="36" t="s">
        <v>183</v>
      </c>
      <c r="D56" s="57" t="s">
        <v>184</v>
      </c>
      <c r="E56" s="25" t="s">
        <v>35</v>
      </c>
      <c r="F56" s="67" t="s">
        <v>86</v>
      </c>
      <c r="G56" s="19">
        <f t="shared" si="7"/>
        <v>27337.461599999999</v>
      </c>
      <c r="H56" s="19">
        <f t="shared" si="8"/>
        <v>3333.2447999999999</v>
      </c>
      <c r="I56" s="19">
        <f t="shared" si="9"/>
        <v>10881.587999999998</v>
      </c>
      <c r="J56" s="19">
        <f t="shared" si="10"/>
        <v>20581.977600000002</v>
      </c>
      <c r="K56" s="19">
        <f t="shared" si="11"/>
        <v>18745.4568</v>
      </c>
      <c r="L56" s="19">
        <v>17808.183959999998</v>
      </c>
      <c r="M56" s="66">
        <v>80904</v>
      </c>
      <c r="O56" s="19">
        <v>88497</v>
      </c>
      <c r="P56" s="19">
        <v>20363</v>
      </c>
      <c r="Q56" s="19">
        <f t="shared" si="12"/>
        <v>-2554.8160400000015</v>
      </c>
      <c r="R56" s="40" t="str">
        <f t="shared" si="13"/>
        <v>Vượt mức</v>
      </c>
      <c r="S56" s="64" t="s">
        <v>182</v>
      </c>
      <c r="T56" s="65" t="s">
        <v>183</v>
      </c>
      <c r="U56" s="57" t="s">
        <v>184</v>
      </c>
      <c r="V56" s="67" t="s">
        <v>86</v>
      </c>
    </row>
    <row r="57" spans="1:22" ht="59.25" customHeight="1" x14ac:dyDescent="0.3">
      <c r="A57" s="13" t="s">
        <v>106</v>
      </c>
      <c r="B57" s="56" t="s">
        <v>185</v>
      </c>
      <c r="C57" s="36" t="s">
        <v>186</v>
      </c>
      <c r="D57" s="57" t="s">
        <v>187</v>
      </c>
      <c r="E57" s="25" t="s">
        <v>35</v>
      </c>
      <c r="F57" s="21" t="s">
        <v>188</v>
      </c>
      <c r="G57" s="19">
        <f t="shared" si="7"/>
        <v>37448.1054</v>
      </c>
      <c r="H57" s="19">
        <f t="shared" si="8"/>
        <v>4566.0312000000004</v>
      </c>
      <c r="I57" s="19">
        <f t="shared" si="9"/>
        <v>14906.096999999998</v>
      </c>
      <c r="J57" s="19">
        <f t="shared" si="10"/>
        <v>28194.134400000003</v>
      </c>
      <c r="K57" s="19">
        <f t="shared" si="11"/>
        <v>25678.3842</v>
      </c>
      <c r="L57" s="19">
        <v>24394.46499</v>
      </c>
      <c r="M57" s="66">
        <v>110826</v>
      </c>
      <c r="O57" s="19">
        <v>132940</v>
      </c>
      <c r="P57" s="19">
        <v>32138</v>
      </c>
      <c r="Q57" s="19">
        <f t="shared" si="12"/>
        <v>-7743.5350099999996</v>
      </c>
      <c r="R57" s="40" t="str">
        <f t="shared" si="13"/>
        <v>Vượt mức</v>
      </c>
      <c r="S57" s="64" t="s">
        <v>185</v>
      </c>
      <c r="T57" s="65" t="s">
        <v>186</v>
      </c>
      <c r="U57" s="57" t="s">
        <v>187</v>
      </c>
      <c r="V57" s="21" t="s">
        <v>188</v>
      </c>
    </row>
    <row r="58" spans="1:22" ht="59.25" customHeight="1" x14ac:dyDescent="0.3">
      <c r="A58" s="13" t="s">
        <v>112</v>
      </c>
      <c r="B58" s="56" t="s">
        <v>189</v>
      </c>
      <c r="C58" s="36" t="s">
        <v>190</v>
      </c>
      <c r="D58" s="57" t="s">
        <v>191</v>
      </c>
      <c r="E58" s="25" t="s">
        <v>35</v>
      </c>
      <c r="F58" s="21" t="s">
        <v>192</v>
      </c>
      <c r="G58" s="19">
        <f t="shared" si="7"/>
        <v>28265.334999999999</v>
      </c>
      <c r="H58" s="19">
        <f t="shared" si="8"/>
        <v>3446.38</v>
      </c>
      <c r="I58" s="19">
        <f t="shared" si="9"/>
        <v>11250.924999999999</v>
      </c>
      <c r="J58" s="19">
        <f t="shared" si="10"/>
        <v>21280.560000000001</v>
      </c>
      <c r="K58" s="19">
        <f t="shared" si="11"/>
        <v>19381.705000000002</v>
      </c>
      <c r="L58" s="19">
        <v>18412.619750000002</v>
      </c>
      <c r="M58" s="66">
        <v>83650</v>
      </c>
      <c r="O58" s="19">
        <v>84340</v>
      </c>
      <c r="P58" s="19">
        <v>9818</v>
      </c>
      <c r="Q58" s="19">
        <f t="shared" si="12"/>
        <v>8594.6197500000017</v>
      </c>
      <c r="R58" s="39" t="str">
        <f t="shared" si="13"/>
        <v>Được Đk</v>
      </c>
      <c r="S58" s="64" t="s">
        <v>189</v>
      </c>
      <c r="T58" s="65" t="s">
        <v>190</v>
      </c>
      <c r="U58" s="57" t="s">
        <v>191</v>
      </c>
      <c r="V58" s="21" t="s">
        <v>192</v>
      </c>
    </row>
    <row r="59" spans="1:22" ht="59.25" customHeight="1" x14ac:dyDescent="0.3">
      <c r="A59" s="13" t="s">
        <v>193</v>
      </c>
      <c r="B59" s="56" t="s">
        <v>194</v>
      </c>
      <c r="C59" s="36" t="s">
        <v>195</v>
      </c>
      <c r="D59" s="57" t="s">
        <v>196</v>
      </c>
      <c r="E59" s="25" t="s">
        <v>35</v>
      </c>
      <c r="F59" s="21" t="s">
        <v>197</v>
      </c>
      <c r="G59" s="19">
        <f t="shared" si="7"/>
        <v>27006.9954</v>
      </c>
      <c r="H59" s="19">
        <f t="shared" si="8"/>
        <v>3292.9512</v>
      </c>
      <c r="I59" s="19">
        <f t="shared" si="9"/>
        <v>10750.046999999999</v>
      </c>
      <c r="J59" s="19">
        <f t="shared" si="10"/>
        <v>20333.1744</v>
      </c>
      <c r="K59" s="19">
        <f t="shared" si="11"/>
        <v>18518.854200000002</v>
      </c>
      <c r="L59" s="19">
        <v>17592.911490000002</v>
      </c>
      <c r="M59" s="66">
        <v>79926</v>
      </c>
      <c r="O59" s="19">
        <v>102254</v>
      </c>
      <c r="P59" s="19">
        <v>20235</v>
      </c>
      <c r="Q59" s="19">
        <f t="shared" si="12"/>
        <v>-2642.0885099999978</v>
      </c>
      <c r="R59" s="40" t="str">
        <f t="shared" si="13"/>
        <v>Vượt mức</v>
      </c>
      <c r="S59" s="64" t="s">
        <v>194</v>
      </c>
      <c r="T59" s="65" t="s">
        <v>195</v>
      </c>
      <c r="U59" s="57" t="s">
        <v>196</v>
      </c>
      <c r="V59" s="21" t="s">
        <v>197</v>
      </c>
    </row>
    <row r="60" spans="1:22" ht="59.25" customHeight="1" x14ac:dyDescent="0.3">
      <c r="A60" s="13" t="s">
        <v>198</v>
      </c>
      <c r="B60" s="56" t="s">
        <v>199</v>
      </c>
      <c r="C60" s="36" t="s">
        <v>200</v>
      </c>
      <c r="D60" s="57" t="s">
        <v>201</v>
      </c>
      <c r="E60" s="25" t="s">
        <v>35</v>
      </c>
      <c r="F60" s="21" t="s">
        <v>202</v>
      </c>
      <c r="G60" s="19">
        <f t="shared" si="7"/>
        <v>58067.777099999999</v>
      </c>
      <c r="H60" s="19">
        <f t="shared" si="8"/>
        <v>7080.1787999999997</v>
      </c>
      <c r="I60" s="19">
        <f t="shared" si="9"/>
        <v>23113.690499999997</v>
      </c>
      <c r="J60" s="19">
        <f t="shared" si="10"/>
        <v>43718.385600000001</v>
      </c>
      <c r="K60" s="19">
        <f t="shared" si="11"/>
        <v>39817.4133</v>
      </c>
      <c r="L60" s="19">
        <v>37826.542634999998</v>
      </c>
      <c r="M60" s="66">
        <v>171849</v>
      </c>
      <c r="O60" s="19">
        <v>142452</v>
      </c>
      <c r="P60" s="19">
        <v>16120</v>
      </c>
      <c r="Q60" s="19">
        <f t="shared" si="12"/>
        <v>21706.542634999998</v>
      </c>
      <c r="R60" s="39" t="str">
        <f t="shared" si="13"/>
        <v>Được Đk</v>
      </c>
      <c r="S60" s="64" t="s">
        <v>199</v>
      </c>
      <c r="T60" s="65" t="s">
        <v>200</v>
      </c>
      <c r="U60" s="57" t="s">
        <v>201</v>
      </c>
      <c r="V60" s="21" t="s">
        <v>202</v>
      </c>
    </row>
    <row r="61" spans="1:22" ht="59.25" customHeight="1" x14ac:dyDescent="0.3">
      <c r="A61" s="13" t="s">
        <v>203</v>
      </c>
      <c r="B61" s="56" t="s">
        <v>204</v>
      </c>
      <c r="C61" s="69" t="s">
        <v>205</v>
      </c>
      <c r="D61" s="15" t="s">
        <v>206</v>
      </c>
      <c r="E61" s="25" t="s">
        <v>35</v>
      </c>
      <c r="F61" s="21" t="s">
        <v>207</v>
      </c>
      <c r="G61" s="19">
        <f t="shared" si="7"/>
        <v>38626.362699999998</v>
      </c>
      <c r="H61" s="19">
        <f t="shared" si="8"/>
        <v>4709.6956</v>
      </c>
      <c r="I61" s="19">
        <f t="shared" si="9"/>
        <v>15375.098499999998</v>
      </c>
      <c r="J61" s="19">
        <f t="shared" si="10"/>
        <v>29081.227200000001</v>
      </c>
      <c r="K61" s="19">
        <f t="shared" si="11"/>
        <v>26486.322100000001</v>
      </c>
      <c r="L61" s="19">
        <v>25162.005995</v>
      </c>
      <c r="M61" s="66">
        <v>114313</v>
      </c>
      <c r="O61" s="19">
        <f>61117</f>
        <v>61117</v>
      </c>
      <c r="P61" s="19">
        <v>13391</v>
      </c>
      <c r="Q61" s="19">
        <f t="shared" si="12"/>
        <v>11771.005995</v>
      </c>
      <c r="R61" s="39" t="str">
        <f t="shared" si="13"/>
        <v>Được Đk</v>
      </c>
      <c r="S61" s="64" t="s">
        <v>204</v>
      </c>
      <c r="T61" s="15" t="s">
        <v>205</v>
      </c>
      <c r="U61" s="15" t="s">
        <v>206</v>
      </c>
      <c r="V61" s="21" t="s">
        <v>207</v>
      </c>
    </row>
    <row r="62" spans="1:22" ht="59.25" customHeight="1" x14ac:dyDescent="0.3">
      <c r="A62" s="13" t="s">
        <v>208</v>
      </c>
      <c r="B62" s="56" t="s">
        <v>209</v>
      </c>
      <c r="C62" s="69" t="s">
        <v>210</v>
      </c>
      <c r="D62" s="15" t="s">
        <v>211</v>
      </c>
      <c r="E62" s="25" t="s">
        <v>35</v>
      </c>
      <c r="F62" s="21" t="s">
        <v>207</v>
      </c>
      <c r="G62" s="19">
        <f t="shared" si="7"/>
        <v>0</v>
      </c>
      <c r="H62" s="19">
        <f t="shared" si="8"/>
        <v>0</v>
      </c>
      <c r="I62" s="19">
        <f t="shared" si="9"/>
        <v>0</v>
      </c>
      <c r="J62" s="19">
        <f t="shared" si="10"/>
        <v>0</v>
      </c>
      <c r="K62" s="19">
        <f t="shared" si="11"/>
        <v>0</v>
      </c>
      <c r="L62" s="19">
        <v>0</v>
      </c>
      <c r="M62" s="66"/>
      <c r="O62" s="19">
        <v>5193</v>
      </c>
      <c r="P62" s="19">
        <v>1393</v>
      </c>
      <c r="Q62" s="19">
        <f t="shared" si="12"/>
        <v>-1393</v>
      </c>
      <c r="R62" s="40" t="str">
        <f t="shared" si="13"/>
        <v>Vượt mức</v>
      </c>
      <c r="S62" s="64" t="s">
        <v>209</v>
      </c>
      <c r="T62" s="15" t="s">
        <v>210</v>
      </c>
      <c r="U62" s="15" t="s">
        <v>211</v>
      </c>
      <c r="V62" s="21" t="s">
        <v>207</v>
      </c>
    </row>
    <row r="63" spans="1:22" ht="59.25" customHeight="1" x14ac:dyDescent="0.3">
      <c r="A63" s="13" t="s">
        <v>212</v>
      </c>
      <c r="B63" s="56" t="s">
        <v>213</v>
      </c>
      <c r="C63" s="69" t="s">
        <v>214</v>
      </c>
      <c r="D63" s="15" t="s">
        <v>215</v>
      </c>
      <c r="E63" s="25" t="s">
        <v>35</v>
      </c>
      <c r="F63" s="21" t="s">
        <v>207</v>
      </c>
      <c r="G63" s="19">
        <f t="shared" si="7"/>
        <v>0</v>
      </c>
      <c r="H63" s="19">
        <f t="shared" si="8"/>
        <v>0</v>
      </c>
      <c r="I63" s="19">
        <f t="shared" si="9"/>
        <v>0</v>
      </c>
      <c r="J63" s="19">
        <f t="shared" si="10"/>
        <v>0</v>
      </c>
      <c r="K63" s="19">
        <f t="shared" si="11"/>
        <v>0</v>
      </c>
      <c r="L63" s="19">
        <v>0</v>
      </c>
      <c r="M63" s="66"/>
      <c r="O63" s="19">
        <v>11906</v>
      </c>
      <c r="P63" s="19">
        <v>3590</v>
      </c>
      <c r="Q63" s="19">
        <f t="shared" si="12"/>
        <v>-3590</v>
      </c>
      <c r="R63" s="40" t="str">
        <f t="shared" si="13"/>
        <v>Vượt mức</v>
      </c>
      <c r="S63" s="64" t="s">
        <v>213</v>
      </c>
      <c r="T63" s="15" t="s">
        <v>214</v>
      </c>
      <c r="U63" s="15" t="s">
        <v>215</v>
      </c>
      <c r="V63" s="21" t="s">
        <v>207</v>
      </c>
    </row>
    <row r="64" spans="1:22" ht="59.25" customHeight="1" x14ac:dyDescent="0.3">
      <c r="A64" s="13" t="s">
        <v>216</v>
      </c>
      <c r="B64" s="56" t="s">
        <v>217</v>
      </c>
      <c r="C64" s="36" t="s">
        <v>218</v>
      </c>
      <c r="D64" s="57" t="s">
        <v>219</v>
      </c>
      <c r="E64" s="25" t="s">
        <v>35</v>
      </c>
      <c r="F64" s="21" t="s">
        <v>220</v>
      </c>
      <c r="G64" s="19">
        <f t="shared" si="7"/>
        <v>35444.020499999999</v>
      </c>
      <c r="H64" s="19">
        <f t="shared" si="8"/>
        <v>4321.674</v>
      </c>
      <c r="I64" s="19">
        <f t="shared" si="9"/>
        <v>14108.377499999999</v>
      </c>
      <c r="J64" s="19">
        <f t="shared" si="10"/>
        <v>26685.288</v>
      </c>
      <c r="K64" s="19">
        <f t="shared" si="11"/>
        <v>24304.1715</v>
      </c>
      <c r="L64" s="19">
        <v>23088.962925</v>
      </c>
      <c r="M64" s="66">
        <v>104895</v>
      </c>
      <c r="O64" s="19">
        <v>78001</v>
      </c>
      <c r="P64" s="19">
        <v>7628</v>
      </c>
      <c r="Q64" s="19">
        <f t="shared" si="12"/>
        <v>15460.962925</v>
      </c>
      <c r="R64" s="39" t="str">
        <f t="shared" si="13"/>
        <v>Được Đk</v>
      </c>
      <c r="S64" s="64" t="s">
        <v>217</v>
      </c>
      <c r="T64" s="65" t="s">
        <v>218</v>
      </c>
      <c r="U64" s="57" t="s">
        <v>219</v>
      </c>
      <c r="V64" s="21" t="s">
        <v>220</v>
      </c>
    </row>
    <row r="65" spans="1:22" ht="59.25" customHeight="1" x14ac:dyDescent="0.3">
      <c r="A65" s="13" t="s">
        <v>221</v>
      </c>
      <c r="B65" s="56" t="s">
        <v>222</v>
      </c>
      <c r="C65" s="36" t="s">
        <v>223</v>
      </c>
      <c r="D65" s="57" t="s">
        <v>224</v>
      </c>
      <c r="E65" s="25" t="s">
        <v>35</v>
      </c>
      <c r="F65" s="21" t="s">
        <v>225</v>
      </c>
      <c r="G65" s="19">
        <f t="shared" si="7"/>
        <v>38415.850999999995</v>
      </c>
      <c r="H65" s="19">
        <f t="shared" si="8"/>
        <v>4684.0280000000002</v>
      </c>
      <c r="I65" s="19">
        <f t="shared" si="9"/>
        <v>15291.304999999998</v>
      </c>
      <c r="J65" s="19">
        <f t="shared" si="10"/>
        <v>28922.736000000001</v>
      </c>
      <c r="K65" s="19">
        <f t="shared" si="11"/>
        <v>26341.973000000002</v>
      </c>
      <c r="L65" s="19">
        <v>25024.874350000002</v>
      </c>
      <c r="M65" s="66">
        <v>113690</v>
      </c>
      <c r="O65" s="19">
        <v>109567</v>
      </c>
      <c r="P65" s="19">
        <v>30692</v>
      </c>
      <c r="Q65" s="19">
        <f t="shared" si="12"/>
        <v>-5667.1256499999981</v>
      </c>
      <c r="R65" s="40" t="str">
        <f t="shared" si="13"/>
        <v>Vượt mức</v>
      </c>
      <c r="S65" s="64" t="s">
        <v>222</v>
      </c>
      <c r="T65" s="65" t="s">
        <v>223</v>
      </c>
      <c r="U65" s="57" t="s">
        <v>224</v>
      </c>
      <c r="V65" s="21" t="s">
        <v>225</v>
      </c>
    </row>
    <row r="66" spans="1:22" ht="59.25" customHeight="1" x14ac:dyDescent="0.3">
      <c r="A66" s="13" t="s">
        <v>226</v>
      </c>
      <c r="B66" s="56" t="s">
        <v>227</v>
      </c>
      <c r="C66" s="36" t="s">
        <v>228</v>
      </c>
      <c r="D66" s="57" t="s">
        <v>229</v>
      </c>
      <c r="E66" s="25" t="s">
        <v>35</v>
      </c>
      <c r="F66" s="21" t="s">
        <v>230</v>
      </c>
      <c r="G66" s="19">
        <f t="shared" si="7"/>
        <v>67358.675499999998</v>
      </c>
      <c r="H66" s="19">
        <f t="shared" si="8"/>
        <v>8213.0139999999992</v>
      </c>
      <c r="I66" s="19">
        <f t="shared" si="9"/>
        <v>26811.902499999997</v>
      </c>
      <c r="J66" s="19">
        <f t="shared" si="10"/>
        <v>50713.368000000002</v>
      </c>
      <c r="K66" s="19">
        <f t="shared" si="11"/>
        <v>46188.236500000006</v>
      </c>
      <c r="L66" s="19">
        <v>43878.824675000003</v>
      </c>
      <c r="M66" s="66">
        <v>199345</v>
      </c>
      <c r="O66" s="19">
        <v>108232</v>
      </c>
      <c r="P66" s="19">
        <v>38681</v>
      </c>
      <c r="Q66" s="19">
        <f t="shared" si="12"/>
        <v>5197.8246750000035</v>
      </c>
      <c r="R66" s="39" t="str">
        <f t="shared" si="13"/>
        <v>Được Đk</v>
      </c>
      <c r="S66" s="64" t="s">
        <v>227</v>
      </c>
      <c r="T66" s="65" t="s">
        <v>228</v>
      </c>
      <c r="U66" s="57" t="s">
        <v>229</v>
      </c>
      <c r="V66" s="21" t="s">
        <v>230</v>
      </c>
    </row>
    <row r="67" spans="1:22" ht="59.25" customHeight="1" x14ac:dyDescent="0.3">
      <c r="A67" s="13" t="s">
        <v>231</v>
      </c>
      <c r="B67" s="56" t="s">
        <v>232</v>
      </c>
      <c r="C67" s="36" t="s">
        <v>233</v>
      </c>
      <c r="D67" s="57" t="s">
        <v>234</v>
      </c>
      <c r="E67" s="25" t="s">
        <v>35</v>
      </c>
      <c r="F67" s="21" t="s">
        <v>86</v>
      </c>
      <c r="G67" s="19">
        <f t="shared" si="7"/>
        <v>35796.788099999998</v>
      </c>
      <c r="H67" s="19">
        <f t="shared" si="8"/>
        <v>4364.6868000000004</v>
      </c>
      <c r="I67" s="19">
        <f t="shared" si="9"/>
        <v>14248.795499999998</v>
      </c>
      <c r="J67" s="19">
        <f t="shared" si="10"/>
        <v>26950.881600000001</v>
      </c>
      <c r="K67" s="19">
        <f t="shared" si="11"/>
        <v>24546.066300000002</v>
      </c>
      <c r="L67" s="19">
        <v>23318.762985000001</v>
      </c>
      <c r="M67" s="66">
        <v>105939</v>
      </c>
      <c r="O67" s="19">
        <v>150597</v>
      </c>
      <c r="P67" s="19">
        <v>25177</v>
      </c>
      <c r="Q67" s="19">
        <f t="shared" si="12"/>
        <v>-1858.2370149999988</v>
      </c>
      <c r="R67" s="40" t="str">
        <f t="shared" si="13"/>
        <v>Vượt mức</v>
      </c>
      <c r="S67" s="64" t="s">
        <v>232</v>
      </c>
      <c r="T67" s="65" t="s">
        <v>233</v>
      </c>
      <c r="U67" s="57" t="s">
        <v>234</v>
      </c>
      <c r="V67" s="21" t="s">
        <v>86</v>
      </c>
    </row>
    <row r="68" spans="1:22" ht="59.25" customHeight="1" x14ac:dyDescent="0.3">
      <c r="A68" s="13" t="s">
        <v>235</v>
      </c>
      <c r="B68" s="58" t="s">
        <v>236</v>
      </c>
      <c r="C68" s="36" t="s">
        <v>237</v>
      </c>
      <c r="D68" s="15" t="s">
        <v>238</v>
      </c>
      <c r="E68" s="25" t="s">
        <v>35</v>
      </c>
      <c r="F68" s="45" t="s">
        <v>239</v>
      </c>
      <c r="G68" s="19">
        <f t="shared" si="7"/>
        <v>59262.929399999994</v>
      </c>
      <c r="H68" s="19">
        <f t="shared" si="8"/>
        <v>7225.9031999999997</v>
      </c>
      <c r="I68" s="19">
        <f t="shared" si="9"/>
        <v>23589.416999999998</v>
      </c>
      <c r="J68" s="19">
        <f t="shared" si="10"/>
        <v>44618.198400000001</v>
      </c>
      <c r="K68" s="19">
        <f t="shared" si="11"/>
        <v>40636.936200000004</v>
      </c>
      <c r="L68" s="19">
        <v>38605.089390000001</v>
      </c>
      <c r="M68" s="66">
        <v>175386</v>
      </c>
      <c r="O68" s="19">
        <v>186027</v>
      </c>
      <c r="P68" s="19">
        <v>50365</v>
      </c>
      <c r="Q68" s="19">
        <f t="shared" si="12"/>
        <v>-11759.910609999999</v>
      </c>
      <c r="R68" s="40" t="str">
        <f t="shared" si="13"/>
        <v>Vượt mức</v>
      </c>
      <c r="S68" s="68" t="s">
        <v>236</v>
      </c>
      <c r="T68" s="65" t="s">
        <v>237</v>
      </c>
      <c r="U68" s="15" t="s">
        <v>238</v>
      </c>
      <c r="V68" s="21" t="s">
        <v>240</v>
      </c>
    </row>
    <row r="69" spans="1:22" ht="59.25" customHeight="1" x14ac:dyDescent="0.3">
      <c r="A69" s="13" t="s">
        <v>241</v>
      </c>
      <c r="B69" s="56" t="s">
        <v>242</v>
      </c>
      <c r="C69" s="36" t="s">
        <v>243</v>
      </c>
      <c r="D69" s="57" t="s">
        <v>244</v>
      </c>
      <c r="E69" s="25" t="s">
        <v>35</v>
      </c>
      <c r="F69" s="21" t="s">
        <v>245</v>
      </c>
      <c r="G69" s="19">
        <f t="shared" si="7"/>
        <v>32221.806099999998</v>
      </c>
      <c r="H69" s="19">
        <f t="shared" si="8"/>
        <v>3928.7908000000002</v>
      </c>
      <c r="I69" s="19">
        <f t="shared" si="9"/>
        <v>12825.785499999998</v>
      </c>
      <c r="J69" s="19">
        <f t="shared" si="10"/>
        <v>24259.329600000001</v>
      </c>
      <c r="K69" s="19">
        <f t="shared" si="11"/>
        <v>22094.6803</v>
      </c>
      <c r="L69" s="19">
        <v>20989.946284999998</v>
      </c>
      <c r="M69" s="66">
        <v>95359</v>
      </c>
      <c r="O69" s="19">
        <v>93131</v>
      </c>
      <c r="P69" s="19">
        <v>26799</v>
      </c>
      <c r="Q69" s="19">
        <f t="shared" si="12"/>
        <v>-5809.0537150000018</v>
      </c>
      <c r="R69" s="40" t="str">
        <f t="shared" si="13"/>
        <v>Vượt mức</v>
      </c>
      <c r="S69" s="64" t="s">
        <v>246</v>
      </c>
      <c r="T69" s="65" t="s">
        <v>247</v>
      </c>
      <c r="U69" s="57" t="s">
        <v>248</v>
      </c>
      <c r="V69" s="21" t="s">
        <v>249</v>
      </c>
    </row>
    <row r="70" spans="1:22" ht="81.75" customHeight="1" x14ac:dyDescent="0.3">
      <c r="A70" s="13" t="s">
        <v>250</v>
      </c>
      <c r="B70" s="56" t="s">
        <v>246</v>
      </c>
      <c r="C70" s="36" t="s">
        <v>247</v>
      </c>
      <c r="D70" s="57" t="s">
        <v>248</v>
      </c>
      <c r="E70" s="25" t="s">
        <v>35</v>
      </c>
      <c r="F70" s="45" t="s">
        <v>251</v>
      </c>
      <c r="G70" s="19">
        <f t="shared" si="7"/>
        <v>43180.5789</v>
      </c>
      <c r="H70" s="19">
        <f t="shared" si="8"/>
        <v>5264.9892</v>
      </c>
      <c r="I70" s="19">
        <f t="shared" si="9"/>
        <v>17187.889499999997</v>
      </c>
      <c r="J70" s="19">
        <f t="shared" si="10"/>
        <v>32510.030400000003</v>
      </c>
      <c r="K70" s="19">
        <f t="shared" si="11"/>
        <v>29609.174700000003</v>
      </c>
      <c r="L70" s="19">
        <v>28128.715965000003</v>
      </c>
      <c r="M70" s="66">
        <v>127791</v>
      </c>
      <c r="O70" s="19">
        <v>173494</v>
      </c>
      <c r="P70" s="19">
        <v>31873</v>
      </c>
      <c r="Q70" s="19">
        <f t="shared" si="12"/>
        <v>-3744.2840349999969</v>
      </c>
      <c r="R70" s="40" t="str">
        <f t="shared" si="13"/>
        <v>Vượt mức</v>
      </c>
      <c r="S70" s="64" t="s">
        <v>252</v>
      </c>
      <c r="T70" s="65" t="s">
        <v>253</v>
      </c>
      <c r="U70" s="57" t="s">
        <v>254</v>
      </c>
      <c r="V70" s="21" t="s">
        <v>255</v>
      </c>
    </row>
    <row r="71" spans="1:22" ht="59.25" customHeight="1" x14ac:dyDescent="0.3">
      <c r="A71" s="13" t="s">
        <v>256</v>
      </c>
      <c r="B71" s="56" t="s">
        <v>252</v>
      </c>
      <c r="C71" s="36" t="s">
        <v>253</v>
      </c>
      <c r="D71" s="57" t="s">
        <v>254</v>
      </c>
      <c r="E71" s="25" t="s">
        <v>35</v>
      </c>
      <c r="F71" s="21" t="s">
        <v>255</v>
      </c>
      <c r="G71" s="19">
        <f t="shared" si="7"/>
        <v>87215.70689999999</v>
      </c>
      <c r="H71" s="19">
        <f t="shared" si="8"/>
        <v>10634.173199999999</v>
      </c>
      <c r="I71" s="19">
        <f t="shared" si="9"/>
        <v>34715.929499999998</v>
      </c>
      <c r="J71" s="19">
        <f t="shared" si="10"/>
        <v>65663.438399999999</v>
      </c>
      <c r="K71" s="19">
        <f t="shared" si="11"/>
        <v>59804.318700000003</v>
      </c>
      <c r="L71" s="19">
        <v>56814.102765000003</v>
      </c>
      <c r="M71" s="66">
        <v>258111</v>
      </c>
      <c r="O71" s="19">
        <v>344806</v>
      </c>
      <c r="P71" s="19">
        <v>118712</v>
      </c>
      <c r="Q71" s="19">
        <f t="shared" si="12"/>
        <v>-61897.897234999997</v>
      </c>
      <c r="R71" s="40" t="str">
        <f t="shared" si="13"/>
        <v>Vượt mức</v>
      </c>
      <c r="S71" s="64" t="s">
        <v>257</v>
      </c>
      <c r="T71" s="65" t="s">
        <v>258</v>
      </c>
      <c r="U71" s="57" t="s">
        <v>259</v>
      </c>
      <c r="V71" s="21" t="s">
        <v>260</v>
      </c>
    </row>
    <row r="72" spans="1:22" ht="59.25" customHeight="1" x14ac:dyDescent="0.3">
      <c r="A72" s="13" t="s">
        <v>261</v>
      </c>
      <c r="B72" s="56" t="s">
        <v>257</v>
      </c>
      <c r="C72" s="36" t="s">
        <v>258</v>
      </c>
      <c r="D72" s="57" t="s">
        <v>259</v>
      </c>
      <c r="E72" s="25" t="s">
        <v>35</v>
      </c>
      <c r="F72" s="45" t="s">
        <v>262</v>
      </c>
      <c r="G72" s="19">
        <f t="shared" si="7"/>
        <v>114882.9589</v>
      </c>
      <c r="H72" s="19">
        <f t="shared" si="8"/>
        <v>14007.629199999999</v>
      </c>
      <c r="I72" s="19">
        <f t="shared" si="9"/>
        <v>45728.789499999992</v>
      </c>
      <c r="J72" s="19">
        <f t="shared" si="10"/>
        <v>86493.710400000011</v>
      </c>
      <c r="K72" s="19">
        <f t="shared" si="11"/>
        <v>78775.914700000008</v>
      </c>
      <c r="L72" s="19">
        <v>74837.118965000001</v>
      </c>
      <c r="M72" s="66">
        <v>339991</v>
      </c>
      <c r="O72" s="19">
        <v>302885</v>
      </c>
      <c r="P72" s="19">
        <v>85853</v>
      </c>
      <c r="Q72" s="19">
        <f t="shared" si="12"/>
        <v>-11015.881034999999</v>
      </c>
      <c r="R72" s="40" t="str">
        <f t="shared" si="13"/>
        <v>Vượt mức</v>
      </c>
      <c r="S72" s="64" t="s">
        <v>263</v>
      </c>
      <c r="T72" s="65" t="s">
        <v>264</v>
      </c>
      <c r="U72" s="57" t="s">
        <v>265</v>
      </c>
      <c r="V72" s="21" t="s">
        <v>266</v>
      </c>
    </row>
    <row r="73" spans="1:22" ht="59.25" customHeight="1" x14ac:dyDescent="0.3">
      <c r="A73" s="13" t="s">
        <v>267</v>
      </c>
      <c r="B73" s="70" t="s">
        <v>268</v>
      </c>
      <c r="C73" s="71">
        <v>79544</v>
      </c>
      <c r="D73" s="72" t="s">
        <v>269</v>
      </c>
      <c r="E73" s="73" t="s">
        <v>35</v>
      </c>
      <c r="F73" s="45" t="s">
        <v>270</v>
      </c>
      <c r="G73" s="19"/>
      <c r="H73" s="19"/>
      <c r="I73" s="19"/>
      <c r="J73" s="19"/>
      <c r="K73" s="19"/>
      <c r="L73" s="19"/>
      <c r="M73" s="66"/>
      <c r="O73" s="19"/>
      <c r="P73" s="19"/>
      <c r="Q73" s="19"/>
      <c r="R73" s="40"/>
      <c r="S73" s="64"/>
      <c r="T73" s="65"/>
      <c r="U73" s="57"/>
      <c r="V73" s="21"/>
    </row>
    <row r="74" spans="1:22" ht="67.5" customHeight="1" x14ac:dyDescent="0.3">
      <c r="A74" s="13" t="s">
        <v>271</v>
      </c>
      <c r="B74" s="56" t="s">
        <v>263</v>
      </c>
      <c r="C74" s="36" t="s">
        <v>264</v>
      </c>
      <c r="D74" s="57" t="s">
        <v>265</v>
      </c>
      <c r="E74" s="25" t="s">
        <v>35</v>
      </c>
      <c r="F74" s="21" t="s">
        <v>266</v>
      </c>
      <c r="G74" s="19">
        <f t="shared" ref="G74:G86" si="14">M74*33.79%</f>
        <v>113898.6562</v>
      </c>
      <c r="H74" s="19">
        <f t="shared" ref="H74:H86" si="15">M74*4.12%</f>
        <v>13887.613600000001</v>
      </c>
      <c r="I74" s="19">
        <f t="shared" ref="I74:I86" si="16">M74*13.45%</f>
        <v>45336.990999999995</v>
      </c>
      <c r="J74" s="19">
        <f t="shared" ref="J74:J86" si="17">M74*25.44%</f>
        <v>85752.643200000006</v>
      </c>
      <c r="K74" s="19">
        <f t="shared" ref="K74:K86" si="18">M74*23.17%</f>
        <v>78100.972600000008</v>
      </c>
      <c r="L74" s="19">
        <v>74195.923970000003</v>
      </c>
      <c r="M74" s="66">
        <v>337078</v>
      </c>
      <c r="O74" s="19">
        <v>185675</v>
      </c>
      <c r="P74" s="19">
        <v>41465</v>
      </c>
      <c r="Q74" s="19">
        <f t="shared" ref="Q74:Q86" si="19">L74-P74</f>
        <v>32730.923970000003</v>
      </c>
      <c r="R74" s="39" t="str">
        <f t="shared" ref="R74:R86" si="20">IF(Q74&gt;0,"Được Đk","Vượt mức")</f>
        <v>Được Đk</v>
      </c>
      <c r="S74" s="64" t="s">
        <v>272</v>
      </c>
      <c r="T74" s="65" t="s">
        <v>273</v>
      </c>
      <c r="U74" s="57" t="s">
        <v>274</v>
      </c>
      <c r="V74" s="21" t="s">
        <v>275</v>
      </c>
    </row>
    <row r="75" spans="1:22" ht="59.25" customHeight="1" x14ac:dyDescent="0.3">
      <c r="A75" s="13" t="s">
        <v>276</v>
      </c>
      <c r="B75" s="56" t="s">
        <v>272</v>
      </c>
      <c r="C75" s="36" t="s">
        <v>273</v>
      </c>
      <c r="D75" s="57" t="s">
        <v>274</v>
      </c>
      <c r="E75" s="25" t="s">
        <v>35</v>
      </c>
      <c r="F75" s="21" t="s">
        <v>275</v>
      </c>
      <c r="G75" s="19">
        <f t="shared" si="14"/>
        <v>43743.858199999995</v>
      </c>
      <c r="H75" s="19">
        <f t="shared" si="15"/>
        <v>5333.6696000000002</v>
      </c>
      <c r="I75" s="19">
        <f t="shared" si="16"/>
        <v>17412.100999999999</v>
      </c>
      <c r="J75" s="19">
        <f t="shared" si="17"/>
        <v>32934.1152</v>
      </c>
      <c r="K75" s="19">
        <f t="shared" si="18"/>
        <v>29995.418600000001</v>
      </c>
      <c r="L75" s="19">
        <v>28495.647669999998</v>
      </c>
      <c r="M75" s="66">
        <v>129458</v>
      </c>
      <c r="O75" s="19">
        <v>92304</v>
      </c>
      <c r="P75" s="19">
        <v>31192</v>
      </c>
      <c r="Q75" s="19">
        <f t="shared" si="19"/>
        <v>-2696.3523300000015</v>
      </c>
      <c r="R75" s="40" t="str">
        <f t="shared" si="20"/>
        <v>Vượt mức</v>
      </c>
      <c r="S75" s="64" t="s">
        <v>277</v>
      </c>
      <c r="T75" s="65" t="s">
        <v>278</v>
      </c>
      <c r="U75" s="57" t="s">
        <v>279</v>
      </c>
      <c r="V75" s="21" t="s">
        <v>86</v>
      </c>
    </row>
    <row r="76" spans="1:22" ht="59.25" customHeight="1" x14ac:dyDescent="0.3">
      <c r="A76" s="13" t="s">
        <v>280</v>
      </c>
      <c r="B76" s="56" t="s">
        <v>277</v>
      </c>
      <c r="C76" s="36" t="s">
        <v>278</v>
      </c>
      <c r="D76" s="57" t="s">
        <v>279</v>
      </c>
      <c r="E76" s="25" t="s">
        <v>35</v>
      </c>
      <c r="F76" s="21" t="s">
        <v>86</v>
      </c>
      <c r="G76" s="19">
        <f t="shared" si="14"/>
        <v>22634.907299999999</v>
      </c>
      <c r="H76" s="19">
        <f t="shared" si="15"/>
        <v>2759.8643999999999</v>
      </c>
      <c r="I76" s="19">
        <f t="shared" si="16"/>
        <v>9009.7514999999985</v>
      </c>
      <c r="J76" s="19">
        <f t="shared" si="17"/>
        <v>17041.4928</v>
      </c>
      <c r="K76" s="19">
        <f t="shared" si="18"/>
        <v>15520.887900000002</v>
      </c>
      <c r="L76" s="19">
        <v>14744.843505000001</v>
      </c>
      <c r="M76" s="66">
        <v>66987</v>
      </c>
      <c r="O76" s="19">
        <v>66186</v>
      </c>
      <c r="P76" s="19">
        <v>17123</v>
      </c>
      <c r="Q76" s="19">
        <f t="shared" si="19"/>
        <v>-2378.1564949999993</v>
      </c>
      <c r="R76" s="40" t="str">
        <f t="shared" si="20"/>
        <v>Vượt mức</v>
      </c>
      <c r="S76" s="64" t="s">
        <v>281</v>
      </c>
      <c r="T76" s="65" t="s">
        <v>282</v>
      </c>
      <c r="U76" s="57" t="s">
        <v>283</v>
      </c>
      <c r="V76" s="21" t="s">
        <v>86</v>
      </c>
    </row>
    <row r="77" spans="1:22" ht="59.25" customHeight="1" x14ac:dyDescent="0.3">
      <c r="A77" s="13" t="s">
        <v>284</v>
      </c>
      <c r="B77" s="56" t="s">
        <v>281</v>
      </c>
      <c r="C77" s="36" t="s">
        <v>282</v>
      </c>
      <c r="D77" s="57" t="s">
        <v>283</v>
      </c>
      <c r="E77" s="25" t="s">
        <v>35</v>
      </c>
      <c r="F77" s="21" t="s">
        <v>86</v>
      </c>
      <c r="G77" s="19">
        <f t="shared" si="14"/>
        <v>20263.525099999999</v>
      </c>
      <c r="H77" s="19">
        <f t="shared" si="15"/>
        <v>2470.7228</v>
      </c>
      <c r="I77" s="19">
        <f t="shared" si="16"/>
        <v>8065.8304999999991</v>
      </c>
      <c r="J77" s="19">
        <f t="shared" si="17"/>
        <v>15256.113600000001</v>
      </c>
      <c r="K77" s="19">
        <f t="shared" si="18"/>
        <v>13894.817300000001</v>
      </c>
      <c r="L77" s="19">
        <v>13200.076435000001</v>
      </c>
      <c r="M77" s="66">
        <v>59969</v>
      </c>
      <c r="O77" s="19">
        <v>49508</v>
      </c>
      <c r="P77" s="19">
        <v>24073</v>
      </c>
      <c r="Q77" s="19">
        <f t="shared" si="19"/>
        <v>-10872.923564999999</v>
      </c>
      <c r="R77" s="40" t="str">
        <f t="shared" si="20"/>
        <v>Vượt mức</v>
      </c>
      <c r="S77" s="64" t="s">
        <v>285</v>
      </c>
      <c r="T77" s="65" t="s">
        <v>286</v>
      </c>
      <c r="U77" s="57" t="s">
        <v>287</v>
      </c>
      <c r="V77" s="67" t="s">
        <v>86</v>
      </c>
    </row>
    <row r="78" spans="1:22" ht="59.25" customHeight="1" x14ac:dyDescent="0.3">
      <c r="A78" s="13" t="s">
        <v>288</v>
      </c>
      <c r="B78" s="56" t="s">
        <v>285</v>
      </c>
      <c r="C78" s="36" t="s">
        <v>286</v>
      </c>
      <c r="D78" s="57" t="s">
        <v>287</v>
      </c>
      <c r="E78" s="25" t="s">
        <v>35</v>
      </c>
      <c r="F78" s="67" t="s">
        <v>86</v>
      </c>
      <c r="G78" s="19">
        <f t="shared" si="14"/>
        <v>0</v>
      </c>
      <c r="H78" s="19">
        <f t="shared" si="15"/>
        <v>0</v>
      </c>
      <c r="I78" s="19">
        <f t="shared" si="16"/>
        <v>0</v>
      </c>
      <c r="J78" s="19">
        <f t="shared" si="17"/>
        <v>0</v>
      </c>
      <c r="K78" s="19">
        <f t="shared" si="18"/>
        <v>0</v>
      </c>
      <c r="L78" s="19">
        <v>0</v>
      </c>
      <c r="M78" s="66"/>
      <c r="O78" s="19"/>
      <c r="P78" s="19">
        <v>27</v>
      </c>
      <c r="Q78" s="19">
        <f t="shared" si="19"/>
        <v>-27</v>
      </c>
      <c r="R78" s="40" t="str">
        <f t="shared" si="20"/>
        <v>Vượt mức</v>
      </c>
      <c r="S78" s="68" t="s">
        <v>289</v>
      </c>
      <c r="T78" s="65" t="s">
        <v>290</v>
      </c>
      <c r="U78" s="15" t="s">
        <v>291</v>
      </c>
      <c r="V78" s="67" t="s">
        <v>292</v>
      </c>
    </row>
    <row r="79" spans="1:22" ht="59.25" customHeight="1" x14ac:dyDescent="0.3">
      <c r="A79" s="13" t="s">
        <v>293</v>
      </c>
      <c r="B79" s="58" t="s">
        <v>289</v>
      </c>
      <c r="C79" s="36" t="s">
        <v>290</v>
      </c>
      <c r="D79" s="15" t="s">
        <v>291</v>
      </c>
      <c r="E79" s="25" t="s">
        <v>35</v>
      </c>
      <c r="F79" s="67" t="s">
        <v>294</v>
      </c>
      <c r="G79" s="19">
        <f t="shared" si="14"/>
        <v>42867.345600000001</v>
      </c>
      <c r="H79" s="19">
        <f t="shared" si="15"/>
        <v>5226.7968000000001</v>
      </c>
      <c r="I79" s="19">
        <f t="shared" si="16"/>
        <v>17063.207999999999</v>
      </c>
      <c r="J79" s="19">
        <f t="shared" si="17"/>
        <v>32274.2016</v>
      </c>
      <c r="K79" s="19">
        <f t="shared" si="18"/>
        <v>29394.388800000001</v>
      </c>
      <c r="L79" s="19">
        <v>27924.66936</v>
      </c>
      <c r="M79" s="66">
        <v>126864</v>
      </c>
      <c r="O79" s="19">
        <v>25676</v>
      </c>
      <c r="P79" s="19">
        <v>8470</v>
      </c>
      <c r="Q79" s="19">
        <f t="shared" si="19"/>
        <v>19454.66936</v>
      </c>
      <c r="R79" s="39" t="str">
        <f t="shared" si="20"/>
        <v>Được Đk</v>
      </c>
      <c r="S79" s="64" t="s">
        <v>295</v>
      </c>
      <c r="T79" s="65" t="s">
        <v>296</v>
      </c>
      <c r="U79" s="57" t="s">
        <v>297</v>
      </c>
      <c r="V79" s="21" t="s">
        <v>298</v>
      </c>
    </row>
    <row r="80" spans="1:22" ht="59.25" customHeight="1" x14ac:dyDescent="0.3">
      <c r="A80" s="13" t="s">
        <v>299</v>
      </c>
      <c r="B80" s="56" t="s">
        <v>295</v>
      </c>
      <c r="C80" s="36" t="s">
        <v>296</v>
      </c>
      <c r="D80" s="57" t="s">
        <v>297</v>
      </c>
      <c r="E80" s="25" t="s">
        <v>35</v>
      </c>
      <c r="F80" s="21" t="s">
        <v>298</v>
      </c>
      <c r="G80" s="19">
        <f t="shared" si="14"/>
        <v>0</v>
      </c>
      <c r="H80" s="19">
        <f t="shared" si="15"/>
        <v>0</v>
      </c>
      <c r="I80" s="19">
        <f t="shared" si="16"/>
        <v>0</v>
      </c>
      <c r="J80" s="19">
        <f t="shared" si="17"/>
        <v>0</v>
      </c>
      <c r="K80" s="19">
        <f t="shared" si="18"/>
        <v>0</v>
      </c>
      <c r="L80" s="19">
        <v>0</v>
      </c>
      <c r="M80" s="66"/>
      <c r="O80" s="19">
        <v>1144</v>
      </c>
      <c r="P80" s="19">
        <v>530</v>
      </c>
      <c r="Q80" s="19">
        <f t="shared" si="19"/>
        <v>-530</v>
      </c>
      <c r="R80" s="40" t="str">
        <f t="shared" si="20"/>
        <v>Vượt mức</v>
      </c>
      <c r="S80" s="64" t="s">
        <v>300</v>
      </c>
      <c r="T80" s="65" t="s">
        <v>301</v>
      </c>
      <c r="U80" s="57" t="s">
        <v>302</v>
      </c>
      <c r="V80" s="67" t="s">
        <v>86</v>
      </c>
    </row>
    <row r="81" spans="1:18" ht="59.25" customHeight="1" x14ac:dyDescent="0.3">
      <c r="A81" s="13" t="s">
        <v>303</v>
      </c>
      <c r="B81" s="56" t="s">
        <v>300</v>
      </c>
      <c r="C81" s="36" t="s">
        <v>301</v>
      </c>
      <c r="D81" s="57" t="s">
        <v>302</v>
      </c>
      <c r="E81" s="25" t="s">
        <v>35</v>
      </c>
      <c r="F81" s="67" t="s">
        <v>86</v>
      </c>
      <c r="G81" s="19">
        <f t="shared" si="14"/>
        <v>0</v>
      </c>
      <c r="H81" s="19">
        <f t="shared" si="15"/>
        <v>0</v>
      </c>
      <c r="I81" s="19">
        <f t="shared" si="16"/>
        <v>0</v>
      </c>
      <c r="J81" s="19">
        <f t="shared" si="17"/>
        <v>0</v>
      </c>
      <c r="K81" s="19">
        <f t="shared" si="18"/>
        <v>0</v>
      </c>
      <c r="L81" s="19">
        <v>0</v>
      </c>
      <c r="M81" s="66"/>
      <c r="O81" s="19">
        <v>183</v>
      </c>
      <c r="P81" s="19">
        <v>40</v>
      </c>
      <c r="Q81" s="19">
        <f t="shared" si="19"/>
        <v>-40</v>
      </c>
      <c r="R81" s="40" t="str">
        <f t="shared" si="20"/>
        <v>Vượt mức</v>
      </c>
    </row>
    <row r="82" spans="1:18" ht="59.25" customHeight="1" x14ac:dyDescent="0.3">
      <c r="A82" s="13" t="s">
        <v>304</v>
      </c>
      <c r="B82" s="74" t="s">
        <v>305</v>
      </c>
      <c r="C82" s="75">
        <v>79553</v>
      </c>
      <c r="D82" s="57" t="s">
        <v>306</v>
      </c>
      <c r="E82" s="25" t="s">
        <v>35</v>
      </c>
      <c r="F82" s="45" t="s">
        <v>307</v>
      </c>
      <c r="G82" s="19">
        <f t="shared" si="14"/>
        <v>0</v>
      </c>
      <c r="H82" s="19">
        <f t="shared" si="15"/>
        <v>0</v>
      </c>
      <c r="I82" s="19">
        <f t="shared" si="16"/>
        <v>0</v>
      </c>
      <c r="J82" s="19">
        <f t="shared" si="17"/>
        <v>0</v>
      </c>
      <c r="K82" s="19">
        <f t="shared" si="18"/>
        <v>0</v>
      </c>
      <c r="L82" s="19">
        <v>0</v>
      </c>
      <c r="M82" s="66"/>
      <c r="O82" s="19">
        <v>219</v>
      </c>
      <c r="P82" s="19"/>
      <c r="Q82" s="19">
        <f t="shared" si="19"/>
        <v>0</v>
      </c>
      <c r="R82" s="40" t="str">
        <f t="shared" si="20"/>
        <v>Vượt mức</v>
      </c>
    </row>
    <row r="83" spans="1:18" ht="59.25" customHeight="1" x14ac:dyDescent="0.3">
      <c r="A83" s="13" t="s">
        <v>308</v>
      </c>
      <c r="B83" s="74" t="s">
        <v>309</v>
      </c>
      <c r="C83" s="43" t="s">
        <v>310</v>
      </c>
      <c r="D83" s="57" t="s">
        <v>311</v>
      </c>
      <c r="E83" s="25" t="s">
        <v>35</v>
      </c>
      <c r="F83" s="45" t="s">
        <v>312</v>
      </c>
      <c r="G83" s="19">
        <f t="shared" si="14"/>
        <v>0</v>
      </c>
      <c r="H83" s="19">
        <f t="shared" si="15"/>
        <v>0</v>
      </c>
      <c r="I83" s="19">
        <f t="shared" si="16"/>
        <v>0</v>
      </c>
      <c r="J83" s="19">
        <f t="shared" si="17"/>
        <v>0</v>
      </c>
      <c r="K83" s="19">
        <f t="shared" si="18"/>
        <v>0</v>
      </c>
      <c r="L83" s="19">
        <v>0</v>
      </c>
      <c r="M83" s="66"/>
      <c r="O83" s="19">
        <v>4</v>
      </c>
      <c r="P83" s="19">
        <v>0</v>
      </c>
      <c r="Q83" s="19">
        <f t="shared" si="19"/>
        <v>0</v>
      </c>
      <c r="R83" s="40" t="str">
        <f t="shared" si="20"/>
        <v>Vượt mức</v>
      </c>
    </row>
    <row r="84" spans="1:18" ht="59.25" customHeight="1" x14ac:dyDescent="0.3">
      <c r="A84" s="13" t="s">
        <v>313</v>
      </c>
      <c r="B84" s="74" t="s">
        <v>314</v>
      </c>
      <c r="C84" s="43" t="s">
        <v>315</v>
      </c>
      <c r="D84" s="57" t="s">
        <v>316</v>
      </c>
      <c r="E84" s="25" t="s">
        <v>35</v>
      </c>
      <c r="F84" s="45" t="s">
        <v>312</v>
      </c>
      <c r="G84" s="76">
        <f t="shared" si="14"/>
        <v>0</v>
      </c>
      <c r="H84" s="19">
        <f t="shared" si="15"/>
        <v>0</v>
      </c>
      <c r="I84" s="19">
        <f t="shared" si="16"/>
        <v>0</v>
      </c>
      <c r="J84" s="19">
        <f t="shared" si="17"/>
        <v>0</v>
      </c>
      <c r="K84" s="19">
        <f t="shared" si="18"/>
        <v>0</v>
      </c>
      <c r="L84" s="19">
        <v>0</v>
      </c>
      <c r="M84" s="66"/>
      <c r="O84" s="19">
        <v>15</v>
      </c>
      <c r="P84" s="19">
        <v>7</v>
      </c>
      <c r="Q84" s="19">
        <f t="shared" si="19"/>
        <v>-7</v>
      </c>
      <c r="R84" s="40" t="str">
        <f t="shared" si="20"/>
        <v>Vượt mức</v>
      </c>
    </row>
    <row r="85" spans="1:18" ht="59.25" customHeight="1" x14ac:dyDescent="0.3">
      <c r="A85" s="13" t="s">
        <v>317</v>
      </c>
      <c r="B85" s="74" t="s">
        <v>318</v>
      </c>
      <c r="C85" s="43" t="s">
        <v>319</v>
      </c>
      <c r="D85" s="57" t="s">
        <v>320</v>
      </c>
      <c r="E85" s="25" t="s">
        <v>35</v>
      </c>
      <c r="F85" s="45" t="s">
        <v>321</v>
      </c>
      <c r="G85" s="76">
        <f t="shared" si="14"/>
        <v>0</v>
      </c>
      <c r="H85" s="19">
        <f t="shared" si="15"/>
        <v>0</v>
      </c>
      <c r="I85" s="19">
        <f t="shared" si="16"/>
        <v>0</v>
      </c>
      <c r="J85" s="19">
        <f t="shared" si="17"/>
        <v>0</v>
      </c>
      <c r="K85" s="19">
        <f t="shared" si="18"/>
        <v>0</v>
      </c>
      <c r="L85" s="48">
        <v>0</v>
      </c>
      <c r="M85" s="46"/>
      <c r="O85" s="48">
        <v>2</v>
      </c>
      <c r="P85" s="19">
        <v>0</v>
      </c>
      <c r="Q85" s="19">
        <f t="shared" si="19"/>
        <v>0</v>
      </c>
      <c r="R85" s="40" t="str">
        <f t="shared" si="20"/>
        <v>Vượt mức</v>
      </c>
    </row>
    <row r="86" spans="1:18" ht="59.25" customHeight="1" x14ac:dyDescent="0.3">
      <c r="A86" s="13" t="s">
        <v>322</v>
      </c>
      <c r="B86" s="74" t="s">
        <v>323</v>
      </c>
      <c r="C86" s="43" t="s">
        <v>324</v>
      </c>
      <c r="D86" s="57" t="s">
        <v>325</v>
      </c>
      <c r="E86" s="25" t="s">
        <v>35</v>
      </c>
      <c r="F86" s="45" t="s">
        <v>326</v>
      </c>
      <c r="G86" s="76">
        <f t="shared" si="14"/>
        <v>0</v>
      </c>
      <c r="H86" s="19">
        <f t="shared" si="15"/>
        <v>0</v>
      </c>
      <c r="I86" s="19">
        <f t="shared" si="16"/>
        <v>0</v>
      </c>
      <c r="J86" s="19">
        <f t="shared" si="17"/>
        <v>0</v>
      </c>
      <c r="K86" s="19">
        <f t="shared" si="18"/>
        <v>0</v>
      </c>
      <c r="L86" s="19">
        <v>0</v>
      </c>
      <c r="M86" s="66"/>
      <c r="N86" s="77"/>
      <c r="O86" s="19">
        <v>1</v>
      </c>
      <c r="P86" s="19">
        <v>3</v>
      </c>
      <c r="Q86" s="19">
        <f t="shared" si="19"/>
        <v>-3</v>
      </c>
      <c r="R86" s="40" t="str">
        <f t="shared" si="20"/>
        <v>Vượt mức</v>
      </c>
    </row>
    <row r="87" spans="1:18" ht="59.25" customHeight="1" x14ac:dyDescent="0.3">
      <c r="A87" s="13" t="s">
        <v>327</v>
      </c>
      <c r="B87" s="74" t="s">
        <v>328</v>
      </c>
      <c r="C87" s="43" t="s">
        <v>329</v>
      </c>
      <c r="D87" s="57" t="s">
        <v>330</v>
      </c>
      <c r="E87" s="25" t="s">
        <v>35</v>
      </c>
      <c r="F87" s="45" t="s">
        <v>331</v>
      </c>
      <c r="G87" s="32"/>
      <c r="H87" s="32"/>
      <c r="I87" s="32"/>
      <c r="J87" s="32"/>
      <c r="K87" s="32"/>
      <c r="L87" s="32"/>
      <c r="M87" s="30"/>
      <c r="N87" s="78"/>
      <c r="O87" s="32"/>
      <c r="P87" s="32"/>
      <c r="Q87" s="32"/>
      <c r="R87" s="79"/>
    </row>
    <row r="88" spans="1:18" ht="59.25" customHeight="1" x14ac:dyDescent="0.3">
      <c r="A88" s="13" t="s">
        <v>332</v>
      </c>
      <c r="B88" s="74" t="s">
        <v>333</v>
      </c>
      <c r="C88" s="43" t="s">
        <v>334</v>
      </c>
      <c r="D88" s="57" t="s">
        <v>335</v>
      </c>
      <c r="E88" s="25" t="s">
        <v>35</v>
      </c>
      <c r="F88" s="45" t="s">
        <v>336</v>
      </c>
      <c r="G88" s="32"/>
      <c r="H88" s="32"/>
      <c r="I88" s="32"/>
      <c r="J88" s="32"/>
      <c r="K88" s="32"/>
      <c r="L88" s="32"/>
      <c r="M88" s="30"/>
      <c r="N88" s="78"/>
      <c r="O88" s="32"/>
      <c r="P88" s="32"/>
      <c r="Q88" s="32"/>
      <c r="R88" s="79"/>
    </row>
    <row r="89" spans="1:18" ht="59.25" customHeight="1" x14ac:dyDescent="0.3">
      <c r="A89" s="13" t="s">
        <v>337</v>
      </c>
      <c r="B89" s="74" t="s">
        <v>338</v>
      </c>
      <c r="C89" s="43" t="s">
        <v>339</v>
      </c>
      <c r="D89" s="57" t="s">
        <v>340</v>
      </c>
      <c r="E89" s="25" t="s">
        <v>35</v>
      </c>
      <c r="F89" s="45" t="s">
        <v>336</v>
      </c>
      <c r="G89" s="32"/>
      <c r="H89" s="32"/>
      <c r="I89" s="32"/>
      <c r="J89" s="32"/>
      <c r="K89" s="32"/>
      <c r="L89" s="32"/>
      <c r="M89" s="30"/>
      <c r="N89" s="78"/>
      <c r="O89" s="32"/>
      <c r="P89" s="32"/>
      <c r="Q89" s="32"/>
      <c r="R89" s="79"/>
    </row>
    <row r="90" spans="1:18" ht="59.25" customHeight="1" x14ac:dyDescent="0.3">
      <c r="A90" s="13" t="s">
        <v>341</v>
      </c>
      <c r="B90" s="74" t="s">
        <v>342</v>
      </c>
      <c r="C90" s="43" t="s">
        <v>343</v>
      </c>
      <c r="D90" s="57" t="s">
        <v>344</v>
      </c>
      <c r="E90" s="25" t="s">
        <v>35</v>
      </c>
      <c r="F90" s="45" t="s">
        <v>331</v>
      </c>
      <c r="G90" s="32"/>
      <c r="H90" s="32"/>
      <c r="I90" s="32"/>
      <c r="J90" s="32"/>
      <c r="K90" s="32"/>
      <c r="L90" s="32"/>
      <c r="M90" s="30"/>
      <c r="N90" s="78"/>
      <c r="O90" s="32"/>
      <c r="P90" s="32"/>
      <c r="Q90" s="32"/>
      <c r="R90" s="79"/>
    </row>
    <row r="91" spans="1:18" ht="15.6" x14ac:dyDescent="0.3">
      <c r="L91" s="30"/>
      <c r="M91" s="30"/>
      <c r="N91" s="78"/>
      <c r="O91" s="32"/>
    </row>
    <row r="92" spans="1:18" ht="33.6" x14ac:dyDescent="0.3">
      <c r="A92" s="80" t="s">
        <v>345</v>
      </c>
      <c r="B92" s="53" t="s">
        <v>346</v>
      </c>
      <c r="C92" s="81"/>
      <c r="D92" s="81"/>
      <c r="E92" s="81"/>
      <c r="F92" s="81"/>
      <c r="L92" s="30"/>
      <c r="M92" s="30"/>
      <c r="N92" s="78"/>
      <c r="O92" s="32"/>
    </row>
    <row r="93" spans="1:18" s="4" customFormat="1" ht="16.5" customHeight="1" x14ac:dyDescent="0.25">
      <c r="A93" s="103" t="s">
        <v>7</v>
      </c>
      <c r="B93" s="105" t="s">
        <v>8</v>
      </c>
      <c r="C93" s="106" t="s">
        <v>9</v>
      </c>
      <c r="D93" s="107" t="s">
        <v>10</v>
      </c>
      <c r="E93" s="106" t="s">
        <v>11</v>
      </c>
      <c r="F93" s="107" t="s">
        <v>12</v>
      </c>
      <c r="G93" s="109" t="s">
        <v>13</v>
      </c>
      <c r="H93" s="109"/>
      <c r="I93" s="109"/>
      <c r="J93" s="109"/>
      <c r="K93" s="109"/>
      <c r="L93" s="109"/>
      <c r="M93" s="110" t="s">
        <v>14</v>
      </c>
      <c r="N93" s="77"/>
      <c r="O93" s="111" t="s">
        <v>15</v>
      </c>
      <c r="R93"/>
    </row>
    <row r="94" spans="1:18" s="4" customFormat="1" ht="67.2" x14ac:dyDescent="0.25">
      <c r="A94" s="104"/>
      <c r="B94" s="105"/>
      <c r="C94" s="106"/>
      <c r="D94" s="108"/>
      <c r="E94" s="106"/>
      <c r="F94" s="108"/>
      <c r="G94" s="55" t="s">
        <v>120</v>
      </c>
      <c r="H94" s="55" t="s">
        <v>121</v>
      </c>
      <c r="I94" s="55" t="s">
        <v>122</v>
      </c>
      <c r="J94" s="55" t="s">
        <v>123</v>
      </c>
      <c r="K94" s="55" t="s">
        <v>124</v>
      </c>
      <c r="L94" s="12" t="s">
        <v>46</v>
      </c>
      <c r="M94" s="110" t="s">
        <v>23</v>
      </c>
      <c r="N94" s="77"/>
      <c r="O94" s="111"/>
      <c r="R94"/>
    </row>
    <row r="95" spans="1:18" s="4" customFormat="1" ht="33.6" x14ac:dyDescent="0.3">
      <c r="A95" s="13" t="s">
        <v>47</v>
      </c>
      <c r="B95" s="56" t="s">
        <v>347</v>
      </c>
      <c r="C95" s="69" t="s">
        <v>348</v>
      </c>
      <c r="D95" s="69" t="s">
        <v>349</v>
      </c>
      <c r="E95" s="25" t="s">
        <v>35</v>
      </c>
      <c r="F95" s="69" t="s">
        <v>350</v>
      </c>
      <c r="G95" s="19">
        <f t="shared" ref="G95:G165" si="21">M95*33.79%</f>
        <v>92964.39959999999</v>
      </c>
      <c r="H95" s="19">
        <f t="shared" ref="H95:H165" si="22">M95*4.12%</f>
        <v>11335.1088</v>
      </c>
      <c r="I95" s="19">
        <f t="shared" ref="I95:I165" si="23">M95*13.45%</f>
        <v>37004.177999999993</v>
      </c>
      <c r="J95" s="19">
        <f t="shared" ref="J95:J165" si="24">M95*25.44%</f>
        <v>69991.545599999998</v>
      </c>
      <c r="K95" s="19">
        <f t="shared" ref="K95:K165" si="25">M95*23.17%</f>
        <v>63746.230800000005</v>
      </c>
      <c r="L95" s="19">
        <v>60558.919260000002</v>
      </c>
      <c r="M95" s="82">
        <v>275124</v>
      </c>
      <c r="N95" s="51"/>
      <c r="O95" s="83">
        <v>108293</v>
      </c>
      <c r="R95"/>
    </row>
    <row r="96" spans="1:18" ht="33.6" x14ac:dyDescent="0.3">
      <c r="A96" s="13" t="s">
        <v>51</v>
      </c>
      <c r="B96" s="56" t="s">
        <v>351</v>
      </c>
      <c r="C96" s="36" t="s">
        <v>352</v>
      </c>
      <c r="D96" s="57" t="s">
        <v>353</v>
      </c>
      <c r="E96" s="25" t="s">
        <v>35</v>
      </c>
      <c r="F96" s="21" t="s">
        <v>354</v>
      </c>
      <c r="G96" s="19">
        <f t="shared" si="21"/>
        <v>0</v>
      </c>
      <c r="H96" s="19">
        <f t="shared" si="22"/>
        <v>0</v>
      </c>
      <c r="I96" s="19">
        <f t="shared" si="23"/>
        <v>0</v>
      </c>
      <c r="J96" s="19">
        <f t="shared" si="24"/>
        <v>0</v>
      </c>
      <c r="K96" s="19">
        <f t="shared" si="25"/>
        <v>0</v>
      </c>
      <c r="L96" s="19">
        <v>0</v>
      </c>
      <c r="M96" s="19">
        <v>0</v>
      </c>
      <c r="O96" s="19">
        <v>13431</v>
      </c>
      <c r="P96" s="19">
        <v>1614</v>
      </c>
      <c r="Q96" s="19">
        <f t="shared" ref="Q96:Q103" si="26">L96-P96</f>
        <v>-1614</v>
      </c>
      <c r="R96" s="40" t="str">
        <f t="shared" ref="R96:R103" si="27">IF(Q96&gt;0,"Được Đk","Vượt mức")</f>
        <v>Vượt mức</v>
      </c>
    </row>
    <row r="97" spans="1:18" ht="33.6" x14ac:dyDescent="0.3">
      <c r="A97" s="13" t="s">
        <v>56</v>
      </c>
      <c r="B97" s="56" t="s">
        <v>355</v>
      </c>
      <c r="C97" s="36" t="s">
        <v>356</v>
      </c>
      <c r="D97" s="57" t="s">
        <v>357</v>
      </c>
      <c r="E97" s="25" t="s">
        <v>35</v>
      </c>
      <c r="F97" s="21" t="s">
        <v>358</v>
      </c>
      <c r="G97" s="19">
        <f t="shared" si="21"/>
        <v>18807.851899999998</v>
      </c>
      <c r="H97" s="19">
        <f t="shared" si="22"/>
        <v>2293.2332000000001</v>
      </c>
      <c r="I97" s="19">
        <f t="shared" si="23"/>
        <v>7486.4044999999987</v>
      </c>
      <c r="J97" s="19">
        <f t="shared" si="24"/>
        <v>14160.1584</v>
      </c>
      <c r="K97" s="19">
        <f t="shared" si="25"/>
        <v>12896.653700000001</v>
      </c>
      <c r="L97" s="19">
        <v>12251.821015</v>
      </c>
      <c r="M97" s="19">
        <v>55661</v>
      </c>
      <c r="O97" s="19">
        <v>1781</v>
      </c>
      <c r="P97" s="19">
        <v>860</v>
      </c>
      <c r="Q97" s="19">
        <f t="shared" si="26"/>
        <v>11391.821015</v>
      </c>
      <c r="R97" s="39" t="str">
        <f t="shared" si="27"/>
        <v>Được Đk</v>
      </c>
    </row>
    <row r="98" spans="1:18" ht="50.4" x14ac:dyDescent="0.3">
      <c r="A98" s="13" t="s">
        <v>61</v>
      </c>
      <c r="B98" s="56" t="s">
        <v>359</v>
      </c>
      <c r="C98" s="36" t="s">
        <v>360</v>
      </c>
      <c r="D98" s="57" t="s">
        <v>361</v>
      </c>
      <c r="E98" s="25" t="s">
        <v>35</v>
      </c>
      <c r="F98" s="21" t="s">
        <v>362</v>
      </c>
      <c r="G98" s="19">
        <f t="shared" si="21"/>
        <v>54080.557099999998</v>
      </c>
      <c r="H98" s="19">
        <f t="shared" si="22"/>
        <v>6594.0187999999998</v>
      </c>
      <c r="I98" s="19">
        <f t="shared" si="23"/>
        <v>21526.590499999998</v>
      </c>
      <c r="J98" s="19">
        <f t="shared" si="24"/>
        <v>40716.465600000003</v>
      </c>
      <c r="K98" s="19">
        <f t="shared" si="25"/>
        <v>37083.353300000002</v>
      </c>
      <c r="L98" s="19">
        <v>35229.185635000002</v>
      </c>
      <c r="M98" s="19">
        <v>160049</v>
      </c>
      <c r="O98" s="19">
        <v>73807</v>
      </c>
      <c r="P98" s="19">
        <v>24265</v>
      </c>
      <c r="Q98" s="19">
        <f t="shared" si="26"/>
        <v>10964.185635000002</v>
      </c>
      <c r="R98" s="39" t="str">
        <f t="shared" si="27"/>
        <v>Được Đk</v>
      </c>
    </row>
    <row r="99" spans="1:18" ht="33.6" x14ac:dyDescent="0.3">
      <c r="A99" s="13" t="s">
        <v>66</v>
      </c>
      <c r="B99" s="58" t="s">
        <v>363</v>
      </c>
      <c r="C99" s="59" t="s">
        <v>364</v>
      </c>
      <c r="D99" s="57" t="s">
        <v>365</v>
      </c>
      <c r="E99" s="25" t="s">
        <v>35</v>
      </c>
      <c r="F99" s="21" t="s">
        <v>366</v>
      </c>
      <c r="G99" s="19">
        <f t="shared" si="21"/>
        <v>0</v>
      </c>
      <c r="H99" s="19">
        <f t="shared" si="22"/>
        <v>0</v>
      </c>
      <c r="I99" s="19">
        <f t="shared" si="23"/>
        <v>0</v>
      </c>
      <c r="J99" s="19">
        <f t="shared" si="24"/>
        <v>0</v>
      </c>
      <c r="K99" s="19">
        <f t="shared" si="25"/>
        <v>0</v>
      </c>
      <c r="L99" s="19">
        <v>0</v>
      </c>
      <c r="M99" s="19">
        <v>0</v>
      </c>
      <c r="O99" s="19">
        <v>252</v>
      </c>
      <c r="P99" s="19">
        <v>26</v>
      </c>
      <c r="Q99" s="19">
        <f t="shared" si="26"/>
        <v>-26</v>
      </c>
      <c r="R99" s="40" t="str">
        <f t="shared" si="27"/>
        <v>Vượt mức</v>
      </c>
    </row>
    <row r="100" spans="1:18" ht="33.6" x14ac:dyDescent="0.3">
      <c r="A100" s="13" t="s">
        <v>71</v>
      </c>
      <c r="B100" s="56" t="s">
        <v>367</v>
      </c>
      <c r="C100" s="36" t="s">
        <v>368</v>
      </c>
      <c r="D100" s="57" t="s">
        <v>369</v>
      </c>
      <c r="E100" s="25" t="s">
        <v>35</v>
      </c>
      <c r="F100" s="21" t="s">
        <v>85</v>
      </c>
      <c r="G100" s="19">
        <f t="shared" si="21"/>
        <v>11762.9748</v>
      </c>
      <c r="H100" s="19">
        <f t="shared" si="22"/>
        <v>1434.2544</v>
      </c>
      <c r="I100" s="19">
        <f t="shared" si="23"/>
        <v>4682.213999999999</v>
      </c>
      <c r="J100" s="19">
        <f t="shared" si="24"/>
        <v>8856.1728000000003</v>
      </c>
      <c r="K100" s="19">
        <f t="shared" si="25"/>
        <v>8065.9404000000004</v>
      </c>
      <c r="L100" s="19">
        <v>7662.6433800000004</v>
      </c>
      <c r="M100" s="19">
        <v>34812</v>
      </c>
      <c r="O100" s="19">
        <v>4221</v>
      </c>
      <c r="P100" s="19">
        <v>312</v>
      </c>
      <c r="Q100" s="19">
        <f t="shared" si="26"/>
        <v>7350.6433800000004</v>
      </c>
      <c r="R100" s="39" t="str">
        <f t="shared" si="27"/>
        <v>Được Đk</v>
      </c>
    </row>
    <row r="101" spans="1:18" ht="33.6" x14ac:dyDescent="0.3">
      <c r="A101" s="13" t="s">
        <v>75</v>
      </c>
      <c r="B101" s="60" t="s">
        <v>370</v>
      </c>
      <c r="C101" s="59" t="s">
        <v>371</v>
      </c>
      <c r="D101" s="84" t="s">
        <v>372</v>
      </c>
      <c r="E101" s="25" t="s">
        <v>35</v>
      </c>
      <c r="F101" s="67" t="s">
        <v>373</v>
      </c>
      <c r="G101" s="19">
        <f t="shared" si="21"/>
        <v>26467.031199999998</v>
      </c>
      <c r="H101" s="19">
        <f t="shared" si="22"/>
        <v>3227.1136000000001</v>
      </c>
      <c r="I101" s="19">
        <f t="shared" si="23"/>
        <v>10535.115999999998</v>
      </c>
      <c r="J101" s="19">
        <f t="shared" si="24"/>
        <v>19926.643200000002</v>
      </c>
      <c r="K101" s="19">
        <f t="shared" si="25"/>
        <v>18148.597600000001</v>
      </c>
      <c r="L101" s="19">
        <v>17241.167720000001</v>
      </c>
      <c r="M101" s="19">
        <v>78328</v>
      </c>
      <c r="O101" s="19">
        <v>9135</v>
      </c>
      <c r="P101" s="19">
        <v>1843</v>
      </c>
      <c r="Q101" s="19">
        <f t="shared" si="26"/>
        <v>15398.167720000001</v>
      </c>
      <c r="R101" s="39" t="str">
        <f t="shared" si="27"/>
        <v>Được Đk</v>
      </c>
    </row>
    <row r="102" spans="1:18" ht="33.6" x14ac:dyDescent="0.3">
      <c r="A102" s="13" t="s">
        <v>81</v>
      </c>
      <c r="B102" s="60" t="s">
        <v>374</v>
      </c>
      <c r="C102" s="43" t="s">
        <v>375</v>
      </c>
      <c r="D102" s="57" t="s">
        <v>376</v>
      </c>
      <c r="E102" s="25" t="s">
        <v>35</v>
      </c>
      <c r="F102" s="67" t="s">
        <v>377</v>
      </c>
      <c r="G102" s="19">
        <f t="shared" si="21"/>
        <v>42469.299399999996</v>
      </c>
      <c r="H102" s="19">
        <f t="shared" si="22"/>
        <v>5178.2632000000003</v>
      </c>
      <c r="I102" s="19">
        <f t="shared" si="23"/>
        <v>16904.766999999996</v>
      </c>
      <c r="J102" s="19">
        <f t="shared" si="24"/>
        <v>31974.518400000001</v>
      </c>
      <c r="K102" s="19">
        <f t="shared" si="25"/>
        <v>29121.446200000002</v>
      </c>
      <c r="L102" s="19">
        <v>27665.373889999999</v>
      </c>
      <c r="M102" s="19">
        <v>125686</v>
      </c>
      <c r="O102" s="19">
        <v>4285</v>
      </c>
      <c r="P102" s="19">
        <v>790</v>
      </c>
      <c r="Q102" s="19">
        <f t="shared" si="26"/>
        <v>26875.373889999999</v>
      </c>
      <c r="R102" s="39" t="str">
        <f t="shared" si="27"/>
        <v>Được Đk</v>
      </c>
    </row>
    <row r="103" spans="1:18" ht="33.6" x14ac:dyDescent="0.3">
      <c r="A103" s="13" t="s">
        <v>87</v>
      </c>
      <c r="B103" s="60" t="s">
        <v>378</v>
      </c>
      <c r="C103" s="43" t="s">
        <v>379</v>
      </c>
      <c r="D103" s="57" t="s">
        <v>634</v>
      </c>
      <c r="E103" s="25" t="s">
        <v>35</v>
      </c>
      <c r="F103" s="69" t="s">
        <v>381</v>
      </c>
      <c r="G103" s="19">
        <f t="shared" si="21"/>
        <v>25274.244199999997</v>
      </c>
      <c r="H103" s="19">
        <f t="shared" si="22"/>
        <v>3081.6776</v>
      </c>
      <c r="I103" s="19">
        <f t="shared" si="23"/>
        <v>10060.330999999998</v>
      </c>
      <c r="J103" s="19">
        <f t="shared" si="24"/>
        <v>19028.611199999999</v>
      </c>
      <c r="K103" s="19">
        <f t="shared" si="25"/>
        <v>17330.696600000003</v>
      </c>
      <c r="L103" s="19">
        <v>16464.161770000002</v>
      </c>
      <c r="M103" s="19">
        <v>74798</v>
      </c>
      <c r="O103" s="19">
        <v>6242</v>
      </c>
      <c r="P103" s="19">
        <v>1749</v>
      </c>
      <c r="Q103" s="19">
        <f t="shared" si="26"/>
        <v>14715.161770000002</v>
      </c>
      <c r="R103" s="39" t="str">
        <f t="shared" si="27"/>
        <v>Được Đk</v>
      </c>
    </row>
    <row r="104" spans="1:18" s="4" customFormat="1" ht="50.4" x14ac:dyDescent="0.3">
      <c r="A104" s="13" t="s">
        <v>91</v>
      </c>
      <c r="B104" s="60" t="s">
        <v>382</v>
      </c>
      <c r="C104" s="43">
        <v>79616</v>
      </c>
      <c r="D104" s="57" t="s">
        <v>380</v>
      </c>
      <c r="E104" s="25" t="s">
        <v>35</v>
      </c>
      <c r="F104" s="67" t="s">
        <v>635</v>
      </c>
      <c r="G104" s="19">
        <f t="shared" si="21"/>
        <v>65070.416699999994</v>
      </c>
      <c r="H104" s="19">
        <f t="shared" si="22"/>
        <v>7934.0075999999999</v>
      </c>
      <c r="I104" s="19">
        <f t="shared" si="23"/>
        <v>25901.068499999998</v>
      </c>
      <c r="J104" s="19">
        <f t="shared" si="24"/>
        <v>48990.571200000006</v>
      </c>
      <c r="K104" s="19">
        <f t="shared" si="25"/>
        <v>44619.164100000002</v>
      </c>
      <c r="L104" s="19">
        <v>42388.205894999999</v>
      </c>
      <c r="M104" s="66">
        <v>192573</v>
      </c>
      <c r="N104" s="51"/>
      <c r="O104" s="19">
        <v>21406</v>
      </c>
      <c r="R104"/>
    </row>
    <row r="105" spans="1:18" s="4" customFormat="1" ht="33.6" x14ac:dyDescent="0.3">
      <c r="A105" s="13" t="s">
        <v>96</v>
      </c>
      <c r="B105" s="56" t="s">
        <v>383</v>
      </c>
      <c r="C105" s="69" t="s">
        <v>384</v>
      </c>
      <c r="D105" s="69" t="s">
        <v>385</v>
      </c>
      <c r="E105" s="25" t="s">
        <v>35</v>
      </c>
      <c r="F105" s="69" t="s">
        <v>136</v>
      </c>
      <c r="G105" s="19">
        <f t="shared" si="21"/>
        <v>0</v>
      </c>
      <c r="H105" s="19">
        <f t="shared" si="22"/>
        <v>0</v>
      </c>
      <c r="I105" s="19">
        <f t="shared" si="23"/>
        <v>0</v>
      </c>
      <c r="J105" s="19">
        <f t="shared" si="24"/>
        <v>0</v>
      </c>
      <c r="K105" s="19">
        <f t="shared" si="25"/>
        <v>0</v>
      </c>
      <c r="L105" s="19">
        <v>0</v>
      </c>
      <c r="M105" s="66"/>
      <c r="N105" s="51"/>
      <c r="O105" s="19">
        <v>20150</v>
      </c>
      <c r="R105"/>
    </row>
    <row r="106" spans="1:18" s="4" customFormat="1" ht="33.6" x14ac:dyDescent="0.3">
      <c r="A106" s="13" t="s">
        <v>101</v>
      </c>
      <c r="B106" s="56" t="s">
        <v>386</v>
      </c>
      <c r="C106" s="69" t="s">
        <v>387</v>
      </c>
      <c r="D106" s="69" t="s">
        <v>388</v>
      </c>
      <c r="E106" s="25" t="s">
        <v>35</v>
      </c>
      <c r="F106" s="69" t="s">
        <v>136</v>
      </c>
      <c r="G106" s="19">
        <f t="shared" si="21"/>
        <v>0</v>
      </c>
      <c r="H106" s="19">
        <f t="shared" si="22"/>
        <v>0</v>
      </c>
      <c r="I106" s="19">
        <f t="shared" si="23"/>
        <v>0</v>
      </c>
      <c r="J106" s="19">
        <f t="shared" si="24"/>
        <v>0</v>
      </c>
      <c r="K106" s="19">
        <f t="shared" si="25"/>
        <v>0</v>
      </c>
      <c r="L106" s="19">
        <v>0</v>
      </c>
      <c r="M106" s="66"/>
      <c r="N106" s="51"/>
      <c r="O106" s="19">
        <v>11400</v>
      </c>
      <c r="R106"/>
    </row>
    <row r="107" spans="1:18" s="4" customFormat="1" ht="33.6" x14ac:dyDescent="0.3">
      <c r="A107" s="13" t="s">
        <v>106</v>
      </c>
      <c r="B107" s="56" t="s">
        <v>389</v>
      </c>
      <c r="C107" s="69" t="s">
        <v>390</v>
      </c>
      <c r="D107" s="69" t="s">
        <v>391</v>
      </c>
      <c r="E107" s="25" t="s">
        <v>35</v>
      </c>
      <c r="F107" s="69" t="s">
        <v>136</v>
      </c>
      <c r="G107" s="19">
        <f t="shared" si="21"/>
        <v>0</v>
      </c>
      <c r="H107" s="19">
        <f t="shared" si="22"/>
        <v>0</v>
      </c>
      <c r="I107" s="19">
        <f t="shared" si="23"/>
        <v>0</v>
      </c>
      <c r="J107" s="19">
        <f t="shared" si="24"/>
        <v>0</v>
      </c>
      <c r="K107" s="19">
        <f t="shared" si="25"/>
        <v>0</v>
      </c>
      <c r="L107" s="19">
        <v>0</v>
      </c>
      <c r="M107" s="66"/>
      <c r="N107" s="51"/>
      <c r="O107" s="19">
        <v>23014</v>
      </c>
      <c r="R107"/>
    </row>
    <row r="108" spans="1:18" s="4" customFormat="1" ht="33.6" x14ac:dyDescent="0.3">
      <c r="A108" s="13" t="s">
        <v>112</v>
      </c>
      <c r="B108" s="56" t="s">
        <v>392</v>
      </c>
      <c r="C108" s="36" t="s">
        <v>393</v>
      </c>
      <c r="D108" s="69" t="s">
        <v>394</v>
      </c>
      <c r="E108" s="25" t="s">
        <v>35</v>
      </c>
      <c r="F108" s="69" t="s">
        <v>136</v>
      </c>
      <c r="G108" s="19">
        <f t="shared" si="21"/>
        <v>13833.963899999999</v>
      </c>
      <c r="H108" s="19">
        <f t="shared" si="22"/>
        <v>1686.7692</v>
      </c>
      <c r="I108" s="19">
        <f t="shared" si="23"/>
        <v>5506.5644999999995</v>
      </c>
      <c r="J108" s="19">
        <f t="shared" si="24"/>
        <v>10415.3904</v>
      </c>
      <c r="K108" s="19">
        <f t="shared" si="25"/>
        <v>9486.029700000001</v>
      </c>
      <c r="L108" s="19">
        <v>9011.728215000001</v>
      </c>
      <c r="M108" s="66">
        <v>40941</v>
      </c>
      <c r="N108" s="51"/>
      <c r="O108" s="19">
        <v>7589</v>
      </c>
      <c r="R108"/>
    </row>
    <row r="109" spans="1:18" s="4" customFormat="1" ht="33.6" x14ac:dyDescent="0.3">
      <c r="A109" s="13" t="s">
        <v>193</v>
      </c>
      <c r="B109" s="56" t="s">
        <v>395</v>
      </c>
      <c r="C109" s="36" t="s">
        <v>396</v>
      </c>
      <c r="D109" s="69" t="s">
        <v>397</v>
      </c>
      <c r="E109" s="25" t="s">
        <v>35</v>
      </c>
      <c r="F109" s="69" t="s">
        <v>398</v>
      </c>
      <c r="G109" s="19">
        <f t="shared" si="21"/>
        <v>0</v>
      </c>
      <c r="H109" s="19">
        <f t="shared" si="22"/>
        <v>0</v>
      </c>
      <c r="I109" s="19">
        <f t="shared" si="23"/>
        <v>0</v>
      </c>
      <c r="J109" s="19">
        <f t="shared" si="24"/>
        <v>0</v>
      </c>
      <c r="K109" s="19">
        <f t="shared" si="25"/>
        <v>0</v>
      </c>
      <c r="L109" s="19">
        <v>0</v>
      </c>
      <c r="M109" s="66"/>
      <c r="N109" s="51"/>
      <c r="O109" s="19">
        <v>5383</v>
      </c>
      <c r="R109"/>
    </row>
    <row r="110" spans="1:18" s="4" customFormat="1" ht="33.6" x14ac:dyDescent="0.3">
      <c r="A110" s="13" t="s">
        <v>198</v>
      </c>
      <c r="B110" s="56" t="s">
        <v>399</v>
      </c>
      <c r="C110" s="36" t="s">
        <v>400</v>
      </c>
      <c r="D110" s="69" t="s">
        <v>401</v>
      </c>
      <c r="E110" s="25" t="s">
        <v>35</v>
      </c>
      <c r="F110" s="69" t="s">
        <v>398</v>
      </c>
      <c r="G110" s="19">
        <f t="shared" si="21"/>
        <v>35865.381799999996</v>
      </c>
      <c r="H110" s="19">
        <f t="shared" si="22"/>
        <v>4373.0504000000001</v>
      </c>
      <c r="I110" s="19">
        <f t="shared" si="23"/>
        <v>14276.098999999998</v>
      </c>
      <c r="J110" s="19">
        <f t="shared" si="24"/>
        <v>27002.524800000003</v>
      </c>
      <c r="K110" s="19">
        <f t="shared" si="25"/>
        <v>24593.101400000003</v>
      </c>
      <c r="L110" s="19">
        <v>23363.446330000002</v>
      </c>
      <c r="M110" s="66">
        <v>106142</v>
      </c>
      <c r="N110" s="51"/>
      <c r="O110" s="19">
        <v>58267</v>
      </c>
      <c r="R110"/>
    </row>
    <row r="111" spans="1:18" s="4" customFormat="1" ht="33.6" x14ac:dyDescent="0.3">
      <c r="A111" s="13" t="s">
        <v>203</v>
      </c>
      <c r="B111" s="56" t="s">
        <v>402</v>
      </c>
      <c r="C111" s="36" t="s">
        <v>403</v>
      </c>
      <c r="D111" s="69" t="s">
        <v>404</v>
      </c>
      <c r="E111" s="25" t="s">
        <v>35</v>
      </c>
      <c r="F111" s="69" t="s">
        <v>405</v>
      </c>
      <c r="G111" s="19">
        <f t="shared" si="21"/>
        <v>15541.710499999999</v>
      </c>
      <c r="H111" s="19">
        <f t="shared" si="22"/>
        <v>1894.9939999999999</v>
      </c>
      <c r="I111" s="19">
        <f t="shared" si="23"/>
        <v>6186.3274999999994</v>
      </c>
      <c r="J111" s="19">
        <f t="shared" si="24"/>
        <v>11701.128000000001</v>
      </c>
      <c r="K111" s="19">
        <f t="shared" si="25"/>
        <v>10657.041500000001</v>
      </c>
      <c r="L111" s="19">
        <v>10124.189425</v>
      </c>
      <c r="M111" s="66">
        <v>45995</v>
      </c>
      <c r="N111" s="51"/>
      <c r="O111" s="19">
        <v>2212</v>
      </c>
      <c r="R111"/>
    </row>
    <row r="112" spans="1:18" s="4" customFormat="1" ht="33.6" x14ac:dyDescent="0.3">
      <c r="A112" s="13" t="s">
        <v>208</v>
      </c>
      <c r="B112" s="56" t="s">
        <v>406</v>
      </c>
      <c r="C112" s="36" t="s">
        <v>407</v>
      </c>
      <c r="D112" s="69" t="s">
        <v>408</v>
      </c>
      <c r="E112" s="25" t="s">
        <v>35</v>
      </c>
      <c r="F112" s="69" t="s">
        <v>409</v>
      </c>
      <c r="G112" s="19">
        <f t="shared" si="21"/>
        <v>0</v>
      </c>
      <c r="H112" s="19">
        <f t="shared" si="22"/>
        <v>0</v>
      </c>
      <c r="I112" s="19">
        <f t="shared" si="23"/>
        <v>0</v>
      </c>
      <c r="J112" s="19">
        <f t="shared" si="24"/>
        <v>0</v>
      </c>
      <c r="K112" s="19">
        <f t="shared" si="25"/>
        <v>0</v>
      </c>
      <c r="L112" s="19">
        <v>0</v>
      </c>
      <c r="M112" s="66"/>
      <c r="N112" s="51"/>
      <c r="O112" s="19">
        <v>11343</v>
      </c>
      <c r="R112"/>
    </row>
    <row r="113" spans="1:18" s="4" customFormat="1" ht="33.6" x14ac:dyDescent="0.3">
      <c r="A113" s="13" t="s">
        <v>212</v>
      </c>
      <c r="B113" s="56" t="s">
        <v>410</v>
      </c>
      <c r="C113" s="36" t="s">
        <v>411</v>
      </c>
      <c r="D113" s="69" t="s">
        <v>412</v>
      </c>
      <c r="E113" s="25" t="s">
        <v>35</v>
      </c>
      <c r="F113" s="69" t="s">
        <v>373</v>
      </c>
      <c r="G113" s="19">
        <f t="shared" si="21"/>
        <v>21519.161499999998</v>
      </c>
      <c r="H113" s="19">
        <f t="shared" si="22"/>
        <v>2623.8220000000001</v>
      </c>
      <c r="I113" s="19">
        <f t="shared" si="23"/>
        <v>8565.6324999999979</v>
      </c>
      <c r="J113" s="19">
        <f t="shared" si="24"/>
        <v>16201.464000000002</v>
      </c>
      <c r="K113" s="19">
        <f t="shared" si="25"/>
        <v>14755.8145</v>
      </c>
      <c r="L113" s="19">
        <v>14018.023775</v>
      </c>
      <c r="M113" s="66">
        <v>63685</v>
      </c>
      <c r="N113" s="51"/>
      <c r="O113" s="19">
        <v>26762</v>
      </c>
      <c r="R113"/>
    </row>
    <row r="114" spans="1:18" s="4" customFormat="1" ht="50.4" x14ac:dyDescent="0.3">
      <c r="A114" s="13" t="s">
        <v>216</v>
      </c>
      <c r="B114" s="56" t="s">
        <v>413</v>
      </c>
      <c r="C114" s="36" t="s">
        <v>414</v>
      </c>
      <c r="D114" s="69" t="s">
        <v>415</v>
      </c>
      <c r="E114" s="25" t="s">
        <v>35</v>
      </c>
      <c r="F114" s="69" t="s">
        <v>416</v>
      </c>
      <c r="G114" s="19">
        <f t="shared" si="21"/>
        <v>25447.586899999998</v>
      </c>
      <c r="H114" s="19">
        <f t="shared" si="22"/>
        <v>3102.8132000000001</v>
      </c>
      <c r="I114" s="19">
        <f t="shared" si="23"/>
        <v>10129.329499999998</v>
      </c>
      <c r="J114" s="19">
        <f t="shared" si="24"/>
        <v>19159.118399999999</v>
      </c>
      <c r="K114" s="19">
        <f t="shared" si="25"/>
        <v>17449.558700000001</v>
      </c>
      <c r="L114" s="19">
        <v>16577.080764999999</v>
      </c>
      <c r="M114" s="66">
        <v>75311</v>
      </c>
      <c r="N114" s="51"/>
      <c r="O114" s="19">
        <v>25735</v>
      </c>
      <c r="R114"/>
    </row>
    <row r="115" spans="1:18" s="4" customFormat="1" ht="33.6" x14ac:dyDescent="0.3">
      <c r="A115" s="13" t="s">
        <v>221</v>
      </c>
      <c r="B115" s="56" t="s">
        <v>417</v>
      </c>
      <c r="C115" s="36" t="s">
        <v>418</v>
      </c>
      <c r="D115" s="69" t="s">
        <v>419</v>
      </c>
      <c r="E115" s="25" t="s">
        <v>35</v>
      </c>
      <c r="F115" s="69" t="s">
        <v>420</v>
      </c>
      <c r="G115" s="19">
        <f t="shared" si="21"/>
        <v>19811.4149</v>
      </c>
      <c r="H115" s="19">
        <f t="shared" si="22"/>
        <v>2415.5972000000002</v>
      </c>
      <c r="I115" s="19">
        <f t="shared" si="23"/>
        <v>7885.8694999999989</v>
      </c>
      <c r="J115" s="19">
        <f t="shared" si="24"/>
        <v>14915.726400000001</v>
      </c>
      <c r="K115" s="19">
        <f t="shared" si="25"/>
        <v>13584.8027</v>
      </c>
      <c r="L115" s="19">
        <v>12905.562565</v>
      </c>
      <c r="M115" s="66">
        <v>58631</v>
      </c>
      <c r="N115" s="51"/>
      <c r="O115" s="19">
        <v>34728</v>
      </c>
      <c r="R115"/>
    </row>
    <row r="116" spans="1:18" s="4" customFormat="1" ht="33.6" x14ac:dyDescent="0.3">
      <c r="A116" s="13" t="s">
        <v>226</v>
      </c>
      <c r="B116" s="56" t="s">
        <v>421</v>
      </c>
      <c r="C116" s="36" t="s">
        <v>422</v>
      </c>
      <c r="D116" s="69" t="s">
        <v>423</v>
      </c>
      <c r="E116" s="25" t="s">
        <v>35</v>
      </c>
      <c r="F116" s="69" t="s">
        <v>373</v>
      </c>
      <c r="G116" s="19">
        <f t="shared" si="21"/>
        <v>0</v>
      </c>
      <c r="H116" s="19">
        <f t="shared" si="22"/>
        <v>0</v>
      </c>
      <c r="I116" s="19">
        <f t="shared" si="23"/>
        <v>0</v>
      </c>
      <c r="J116" s="19">
        <f t="shared" si="24"/>
        <v>0</v>
      </c>
      <c r="K116" s="19">
        <f t="shared" si="25"/>
        <v>0</v>
      </c>
      <c r="L116" s="19">
        <v>0</v>
      </c>
      <c r="M116" s="66"/>
      <c r="N116" s="51"/>
      <c r="O116" s="19">
        <v>890</v>
      </c>
      <c r="R116"/>
    </row>
    <row r="117" spans="1:18" s="4" customFormat="1" ht="33.6" x14ac:dyDescent="0.3">
      <c r="A117" s="13" t="s">
        <v>231</v>
      </c>
      <c r="B117" s="56" t="s">
        <v>424</v>
      </c>
      <c r="C117" s="36" t="s">
        <v>425</v>
      </c>
      <c r="D117" s="69" t="s">
        <v>426</v>
      </c>
      <c r="E117" s="25" t="s">
        <v>35</v>
      </c>
      <c r="F117" s="69" t="s">
        <v>427</v>
      </c>
      <c r="G117" s="19">
        <f t="shared" si="21"/>
        <v>0</v>
      </c>
      <c r="H117" s="19">
        <f t="shared" si="22"/>
        <v>0</v>
      </c>
      <c r="I117" s="19">
        <f t="shared" si="23"/>
        <v>0</v>
      </c>
      <c r="J117" s="19">
        <f t="shared" si="24"/>
        <v>0</v>
      </c>
      <c r="K117" s="19">
        <f t="shared" si="25"/>
        <v>0</v>
      </c>
      <c r="L117" s="19">
        <v>0</v>
      </c>
      <c r="M117" s="66"/>
      <c r="N117" s="51"/>
      <c r="O117" s="19">
        <v>5211</v>
      </c>
      <c r="R117"/>
    </row>
    <row r="118" spans="1:18" s="4" customFormat="1" ht="33.6" x14ac:dyDescent="0.3">
      <c r="A118" s="13" t="s">
        <v>235</v>
      </c>
      <c r="B118" s="56" t="s">
        <v>428</v>
      </c>
      <c r="C118" s="36" t="s">
        <v>429</v>
      </c>
      <c r="D118" s="69" t="s">
        <v>430</v>
      </c>
      <c r="E118" s="25" t="s">
        <v>35</v>
      </c>
      <c r="F118" s="69" t="s">
        <v>420</v>
      </c>
      <c r="G118" s="19">
        <f t="shared" si="21"/>
        <v>0</v>
      </c>
      <c r="H118" s="19">
        <f t="shared" si="22"/>
        <v>0</v>
      </c>
      <c r="I118" s="19">
        <f t="shared" si="23"/>
        <v>0</v>
      </c>
      <c r="J118" s="19">
        <f t="shared" si="24"/>
        <v>0</v>
      </c>
      <c r="K118" s="19">
        <f t="shared" si="25"/>
        <v>0</v>
      </c>
      <c r="L118" s="19">
        <v>0</v>
      </c>
      <c r="M118" s="66"/>
      <c r="N118" s="51"/>
      <c r="O118" s="19">
        <v>1540</v>
      </c>
      <c r="R118"/>
    </row>
    <row r="119" spans="1:18" s="4" customFormat="1" ht="33.6" x14ac:dyDescent="0.3">
      <c r="A119" s="13" t="s">
        <v>241</v>
      </c>
      <c r="B119" s="56" t="s">
        <v>431</v>
      </c>
      <c r="C119" s="36" t="s">
        <v>432</v>
      </c>
      <c r="D119" s="69" t="s">
        <v>433</v>
      </c>
      <c r="E119" s="25" t="s">
        <v>35</v>
      </c>
      <c r="F119" s="69" t="s">
        <v>434</v>
      </c>
      <c r="G119" s="19">
        <f t="shared" si="21"/>
        <v>0</v>
      </c>
      <c r="H119" s="19">
        <f t="shared" si="22"/>
        <v>0</v>
      </c>
      <c r="I119" s="19">
        <f t="shared" si="23"/>
        <v>0</v>
      </c>
      <c r="J119" s="19">
        <f t="shared" si="24"/>
        <v>0</v>
      </c>
      <c r="K119" s="19">
        <f t="shared" si="25"/>
        <v>0</v>
      </c>
      <c r="L119" s="19">
        <v>0</v>
      </c>
      <c r="M119" s="66"/>
      <c r="N119" s="51"/>
      <c r="O119" s="19">
        <v>1180</v>
      </c>
      <c r="R119"/>
    </row>
    <row r="120" spans="1:18" s="4" customFormat="1" ht="33.6" x14ac:dyDescent="0.3">
      <c r="A120" s="13" t="s">
        <v>250</v>
      </c>
      <c r="B120" s="60" t="s">
        <v>435</v>
      </c>
      <c r="C120" s="36" t="s">
        <v>436</v>
      </c>
      <c r="D120" s="69" t="s">
        <v>437</v>
      </c>
      <c r="E120" s="25" t="s">
        <v>35</v>
      </c>
      <c r="F120" s="69" t="s">
        <v>132</v>
      </c>
      <c r="G120" s="19">
        <f t="shared" si="21"/>
        <v>5977.451</v>
      </c>
      <c r="H120" s="19">
        <f t="shared" si="22"/>
        <v>728.82799999999997</v>
      </c>
      <c r="I120" s="19">
        <f t="shared" si="23"/>
        <v>2379.3049999999998</v>
      </c>
      <c r="J120" s="19">
        <f t="shared" si="24"/>
        <v>4500.3360000000002</v>
      </c>
      <c r="K120" s="19">
        <f t="shared" si="25"/>
        <v>4098.7730000000001</v>
      </c>
      <c r="L120" s="19">
        <v>3893.8343500000001</v>
      </c>
      <c r="M120" s="66">
        <v>17690</v>
      </c>
      <c r="N120" s="51"/>
      <c r="O120" s="19">
        <v>4765</v>
      </c>
      <c r="R120"/>
    </row>
    <row r="121" spans="1:18" s="4" customFormat="1" ht="33.6" x14ac:dyDescent="0.3">
      <c r="A121" s="13" t="s">
        <v>256</v>
      </c>
      <c r="B121" s="60" t="s">
        <v>438</v>
      </c>
      <c r="C121" s="36" t="s">
        <v>439</v>
      </c>
      <c r="D121" s="69" t="s">
        <v>440</v>
      </c>
      <c r="E121" s="25" t="s">
        <v>35</v>
      </c>
      <c r="F121" s="69" t="s">
        <v>409</v>
      </c>
      <c r="G121" s="19">
        <f t="shared" si="21"/>
        <v>0</v>
      </c>
      <c r="H121" s="19">
        <f t="shared" si="22"/>
        <v>0</v>
      </c>
      <c r="I121" s="19">
        <f t="shared" si="23"/>
        <v>0</v>
      </c>
      <c r="J121" s="19">
        <f t="shared" si="24"/>
        <v>0</v>
      </c>
      <c r="K121" s="19">
        <f t="shared" si="25"/>
        <v>0</v>
      </c>
      <c r="L121" s="19">
        <v>0</v>
      </c>
      <c r="M121" s="66"/>
      <c r="N121" s="51"/>
      <c r="O121" s="19">
        <v>705</v>
      </c>
      <c r="R121"/>
    </row>
    <row r="122" spans="1:18" s="4" customFormat="1" ht="33.6" x14ac:dyDescent="0.3">
      <c r="A122" s="13" t="s">
        <v>261</v>
      </c>
      <c r="B122" s="60" t="s">
        <v>441</v>
      </c>
      <c r="C122" s="36" t="s">
        <v>442</v>
      </c>
      <c r="D122" s="69" t="s">
        <v>443</v>
      </c>
      <c r="E122" s="25" t="s">
        <v>35</v>
      </c>
      <c r="F122" s="69" t="s">
        <v>444</v>
      </c>
      <c r="G122" s="19">
        <f t="shared" si="21"/>
        <v>0</v>
      </c>
      <c r="H122" s="19">
        <f t="shared" si="22"/>
        <v>0</v>
      </c>
      <c r="I122" s="19">
        <f t="shared" si="23"/>
        <v>0</v>
      </c>
      <c r="J122" s="19">
        <f t="shared" si="24"/>
        <v>0</v>
      </c>
      <c r="K122" s="19">
        <f t="shared" si="25"/>
        <v>0</v>
      </c>
      <c r="L122" s="19">
        <v>0</v>
      </c>
      <c r="M122" s="66"/>
      <c r="N122" s="51"/>
      <c r="O122" s="19">
        <v>479</v>
      </c>
      <c r="R122"/>
    </row>
    <row r="123" spans="1:18" s="4" customFormat="1" ht="33.6" x14ac:dyDescent="0.3">
      <c r="A123" s="13" t="s">
        <v>267</v>
      </c>
      <c r="B123" s="60" t="s">
        <v>445</v>
      </c>
      <c r="C123" s="36" t="s">
        <v>446</v>
      </c>
      <c r="D123" s="69" t="s">
        <v>447</v>
      </c>
      <c r="E123" s="25" t="s">
        <v>35</v>
      </c>
      <c r="F123" s="69" t="s">
        <v>398</v>
      </c>
      <c r="G123" s="19">
        <f t="shared" si="21"/>
        <v>10759.749699999998</v>
      </c>
      <c r="H123" s="19">
        <f t="shared" si="22"/>
        <v>1311.9316000000001</v>
      </c>
      <c r="I123" s="19">
        <f t="shared" si="23"/>
        <v>4282.883499999999</v>
      </c>
      <c r="J123" s="19">
        <f t="shared" si="24"/>
        <v>8100.8592000000008</v>
      </c>
      <c r="K123" s="19">
        <f t="shared" si="25"/>
        <v>7378.0231000000003</v>
      </c>
      <c r="L123" s="19">
        <v>7009.1219449999999</v>
      </c>
      <c r="M123" s="66">
        <v>31843</v>
      </c>
      <c r="N123" s="51"/>
      <c r="O123" s="19">
        <v>3052</v>
      </c>
      <c r="R123"/>
    </row>
    <row r="124" spans="1:18" s="4" customFormat="1" ht="33.6" x14ac:dyDescent="0.3">
      <c r="A124" s="13" t="s">
        <v>271</v>
      </c>
      <c r="B124" s="60" t="s">
        <v>448</v>
      </c>
      <c r="C124" s="36" t="s">
        <v>449</v>
      </c>
      <c r="D124" s="69" t="s">
        <v>450</v>
      </c>
      <c r="E124" s="25" t="s">
        <v>35</v>
      </c>
      <c r="F124" s="69" t="s">
        <v>451</v>
      </c>
      <c r="G124" s="19">
        <f t="shared" si="21"/>
        <v>6490.0452999999998</v>
      </c>
      <c r="H124" s="19">
        <f t="shared" si="22"/>
        <v>791.32839999999999</v>
      </c>
      <c r="I124" s="19">
        <f t="shared" si="23"/>
        <v>2583.3414999999995</v>
      </c>
      <c r="J124" s="19">
        <f t="shared" si="24"/>
        <v>4886.2608</v>
      </c>
      <c r="K124" s="19">
        <f t="shared" si="25"/>
        <v>4450.2619000000004</v>
      </c>
      <c r="L124" s="19">
        <v>4227.7488050000002</v>
      </c>
      <c r="M124" s="66">
        <v>19207</v>
      </c>
      <c r="N124" s="51"/>
      <c r="O124" s="19">
        <v>768</v>
      </c>
      <c r="R124"/>
    </row>
    <row r="125" spans="1:18" s="4" customFormat="1" ht="33.6" x14ac:dyDescent="0.3">
      <c r="A125" s="13" t="s">
        <v>276</v>
      </c>
      <c r="B125" s="85" t="s">
        <v>452</v>
      </c>
      <c r="C125" s="36" t="s">
        <v>453</v>
      </c>
      <c r="D125" s="69" t="s">
        <v>454</v>
      </c>
      <c r="E125" s="25" t="s">
        <v>35</v>
      </c>
      <c r="F125" s="69" t="s">
        <v>373</v>
      </c>
      <c r="G125" s="19">
        <f t="shared" si="21"/>
        <v>0</v>
      </c>
      <c r="H125" s="19">
        <f t="shared" si="22"/>
        <v>0</v>
      </c>
      <c r="I125" s="19">
        <f t="shared" si="23"/>
        <v>0</v>
      </c>
      <c r="J125" s="19">
        <f t="shared" si="24"/>
        <v>0</v>
      </c>
      <c r="K125" s="19">
        <f t="shared" si="25"/>
        <v>0</v>
      </c>
      <c r="L125" s="19">
        <v>0</v>
      </c>
      <c r="M125" s="66"/>
      <c r="N125" s="51"/>
      <c r="O125" s="19">
        <v>2532</v>
      </c>
      <c r="R125"/>
    </row>
    <row r="126" spans="1:18" s="4" customFormat="1" ht="33.6" x14ac:dyDescent="0.3">
      <c r="A126" s="13" t="s">
        <v>280</v>
      </c>
      <c r="B126" s="56" t="s">
        <v>455</v>
      </c>
      <c r="C126" s="36" t="s">
        <v>456</v>
      </c>
      <c r="D126" s="69" t="s">
        <v>457</v>
      </c>
      <c r="E126" s="25" t="s">
        <v>35</v>
      </c>
      <c r="F126" s="69" t="s">
        <v>420</v>
      </c>
      <c r="G126" s="19">
        <f t="shared" si="21"/>
        <v>0</v>
      </c>
      <c r="H126" s="19">
        <f t="shared" si="22"/>
        <v>0</v>
      </c>
      <c r="I126" s="19">
        <f t="shared" si="23"/>
        <v>0</v>
      </c>
      <c r="J126" s="19">
        <f t="shared" si="24"/>
        <v>0</v>
      </c>
      <c r="K126" s="19">
        <f t="shared" si="25"/>
        <v>0</v>
      </c>
      <c r="L126" s="19">
        <v>0</v>
      </c>
      <c r="M126" s="66"/>
      <c r="N126" s="51"/>
      <c r="O126" s="19">
        <v>19985</v>
      </c>
      <c r="R126"/>
    </row>
    <row r="127" spans="1:18" s="4" customFormat="1" ht="50.4" x14ac:dyDescent="0.3">
      <c r="A127" s="13" t="s">
        <v>284</v>
      </c>
      <c r="B127" s="60" t="s">
        <v>458</v>
      </c>
      <c r="C127" s="86" t="s">
        <v>459</v>
      </c>
      <c r="D127" s="69" t="s">
        <v>460</v>
      </c>
      <c r="E127" s="25" t="s">
        <v>35</v>
      </c>
      <c r="F127" s="69" t="s">
        <v>461</v>
      </c>
      <c r="G127" s="19">
        <f t="shared" si="21"/>
        <v>0</v>
      </c>
      <c r="H127" s="19">
        <f t="shared" si="22"/>
        <v>0</v>
      </c>
      <c r="I127" s="19">
        <f t="shared" si="23"/>
        <v>0</v>
      </c>
      <c r="J127" s="19">
        <f t="shared" si="24"/>
        <v>0</v>
      </c>
      <c r="K127" s="19">
        <f t="shared" si="25"/>
        <v>0</v>
      </c>
      <c r="L127" s="19">
        <v>0</v>
      </c>
      <c r="M127" s="66"/>
      <c r="N127" s="51"/>
      <c r="O127" s="19">
        <v>31043</v>
      </c>
      <c r="R127"/>
    </row>
    <row r="128" spans="1:18" s="4" customFormat="1" ht="33.6" x14ac:dyDescent="0.3">
      <c r="A128" s="13" t="s">
        <v>288</v>
      </c>
      <c r="B128" s="60" t="s">
        <v>462</v>
      </c>
      <c r="C128" s="86" t="s">
        <v>463</v>
      </c>
      <c r="D128" s="69" t="s">
        <v>464</v>
      </c>
      <c r="E128" s="25" t="s">
        <v>35</v>
      </c>
      <c r="F128" s="69" t="s">
        <v>465</v>
      </c>
      <c r="G128" s="19">
        <f t="shared" si="21"/>
        <v>0</v>
      </c>
      <c r="H128" s="19">
        <f t="shared" si="22"/>
        <v>0</v>
      </c>
      <c r="I128" s="19">
        <f t="shared" si="23"/>
        <v>0</v>
      </c>
      <c r="J128" s="19">
        <f t="shared" si="24"/>
        <v>0</v>
      </c>
      <c r="K128" s="19">
        <f t="shared" si="25"/>
        <v>0</v>
      </c>
      <c r="L128" s="19">
        <v>0</v>
      </c>
      <c r="M128" s="66"/>
      <c r="N128" s="51"/>
      <c r="O128" s="19">
        <v>2556</v>
      </c>
      <c r="R128"/>
    </row>
    <row r="129" spans="1:18" s="4" customFormat="1" ht="33.6" x14ac:dyDescent="0.3">
      <c r="A129" s="13" t="s">
        <v>293</v>
      </c>
      <c r="B129" s="85" t="s">
        <v>466</v>
      </c>
      <c r="C129" s="36" t="s">
        <v>467</v>
      </c>
      <c r="D129" s="69" t="s">
        <v>468</v>
      </c>
      <c r="E129" s="25" t="s">
        <v>35</v>
      </c>
      <c r="F129" s="69" t="s">
        <v>132</v>
      </c>
      <c r="G129" s="19">
        <f t="shared" si="21"/>
        <v>0</v>
      </c>
      <c r="H129" s="19">
        <f t="shared" si="22"/>
        <v>0</v>
      </c>
      <c r="I129" s="19">
        <f t="shared" si="23"/>
        <v>0</v>
      </c>
      <c r="J129" s="19">
        <f t="shared" si="24"/>
        <v>0</v>
      </c>
      <c r="K129" s="19">
        <f t="shared" si="25"/>
        <v>0</v>
      </c>
      <c r="L129" s="19">
        <v>0</v>
      </c>
      <c r="M129" s="66"/>
      <c r="N129" s="51"/>
      <c r="O129" s="19"/>
      <c r="R129"/>
    </row>
    <row r="130" spans="1:18" s="4" customFormat="1" ht="33.6" x14ac:dyDescent="0.3">
      <c r="A130" s="13" t="s">
        <v>299</v>
      </c>
      <c r="B130" s="56" t="s">
        <v>469</v>
      </c>
      <c r="C130" s="36" t="s">
        <v>470</v>
      </c>
      <c r="D130" s="69" t="s">
        <v>471</v>
      </c>
      <c r="E130" s="25" t="s">
        <v>35</v>
      </c>
      <c r="F130" s="69" t="s">
        <v>444</v>
      </c>
      <c r="G130" s="19">
        <f t="shared" si="21"/>
        <v>0</v>
      </c>
      <c r="H130" s="19">
        <f t="shared" si="22"/>
        <v>0</v>
      </c>
      <c r="I130" s="19">
        <f t="shared" si="23"/>
        <v>0</v>
      </c>
      <c r="J130" s="19">
        <f t="shared" si="24"/>
        <v>0</v>
      </c>
      <c r="K130" s="19">
        <f t="shared" si="25"/>
        <v>0</v>
      </c>
      <c r="L130" s="19">
        <v>0</v>
      </c>
      <c r="M130" s="66"/>
      <c r="N130" s="51"/>
      <c r="O130" s="19">
        <v>639</v>
      </c>
      <c r="R130"/>
    </row>
    <row r="131" spans="1:18" s="4" customFormat="1" ht="33.6" x14ac:dyDescent="0.3">
      <c r="A131" s="13" t="s">
        <v>303</v>
      </c>
      <c r="B131" s="60" t="s">
        <v>472</v>
      </c>
      <c r="C131" s="43" t="s">
        <v>473</v>
      </c>
      <c r="D131" s="69" t="s">
        <v>474</v>
      </c>
      <c r="E131" s="25" t="s">
        <v>35</v>
      </c>
      <c r="F131" s="69" t="s">
        <v>146</v>
      </c>
      <c r="G131" s="19">
        <f t="shared" si="21"/>
        <v>0</v>
      </c>
      <c r="H131" s="19">
        <f t="shared" si="22"/>
        <v>0</v>
      </c>
      <c r="I131" s="19">
        <f t="shared" si="23"/>
        <v>0</v>
      </c>
      <c r="J131" s="19">
        <f t="shared" si="24"/>
        <v>0</v>
      </c>
      <c r="K131" s="19">
        <f t="shared" si="25"/>
        <v>0</v>
      </c>
      <c r="L131" s="19">
        <v>0</v>
      </c>
      <c r="M131" s="66"/>
      <c r="N131" s="51"/>
      <c r="O131" s="19"/>
      <c r="R131"/>
    </row>
    <row r="132" spans="1:18" s="4" customFormat="1" ht="33.6" x14ac:dyDescent="0.3">
      <c r="A132" s="13" t="s">
        <v>304</v>
      </c>
      <c r="B132" s="60" t="s">
        <v>475</v>
      </c>
      <c r="C132" s="43" t="s">
        <v>476</v>
      </c>
      <c r="D132" s="69" t="s">
        <v>477</v>
      </c>
      <c r="E132" s="25" t="s">
        <v>35</v>
      </c>
      <c r="F132" s="69" t="s">
        <v>146</v>
      </c>
      <c r="G132" s="19">
        <f t="shared" si="21"/>
        <v>8368.7692999999999</v>
      </c>
      <c r="H132" s="19">
        <f t="shared" si="22"/>
        <v>1020.4004</v>
      </c>
      <c r="I132" s="19">
        <f t="shared" si="23"/>
        <v>3331.1614999999997</v>
      </c>
      <c r="J132" s="19">
        <f t="shared" si="24"/>
        <v>6300.7248</v>
      </c>
      <c r="K132" s="19">
        <f t="shared" si="25"/>
        <v>5738.5139000000008</v>
      </c>
      <c r="L132" s="19">
        <v>5451.5882050000009</v>
      </c>
      <c r="M132" s="66">
        <v>24767</v>
      </c>
      <c r="N132" s="51"/>
      <c r="O132" s="19">
        <v>778</v>
      </c>
      <c r="R132"/>
    </row>
    <row r="133" spans="1:18" s="4" customFormat="1" ht="33.6" x14ac:dyDescent="0.3">
      <c r="A133" s="13" t="s">
        <v>308</v>
      </c>
      <c r="B133" s="60" t="s">
        <v>478</v>
      </c>
      <c r="C133" s="43" t="s">
        <v>479</v>
      </c>
      <c r="D133" s="69" t="s">
        <v>480</v>
      </c>
      <c r="E133" s="25" t="s">
        <v>35</v>
      </c>
      <c r="F133" s="69" t="s">
        <v>481</v>
      </c>
      <c r="G133" s="19">
        <f t="shared" si="21"/>
        <v>11442.6456</v>
      </c>
      <c r="H133" s="19">
        <f t="shared" si="22"/>
        <v>1395.1967999999999</v>
      </c>
      <c r="I133" s="19">
        <f t="shared" si="23"/>
        <v>4554.7079999999996</v>
      </c>
      <c r="J133" s="19">
        <f t="shared" si="24"/>
        <v>8615.0015999999996</v>
      </c>
      <c r="K133" s="19">
        <f t="shared" si="25"/>
        <v>7846.2888000000003</v>
      </c>
      <c r="L133" s="19">
        <v>7453.9743600000002</v>
      </c>
      <c r="M133" s="66">
        <v>33864</v>
      </c>
      <c r="N133" s="51"/>
      <c r="O133" s="19">
        <v>483</v>
      </c>
      <c r="R133"/>
    </row>
    <row r="134" spans="1:18" s="4" customFormat="1" ht="50.4" x14ac:dyDescent="0.3">
      <c r="A134" s="13" t="s">
        <v>313</v>
      </c>
      <c r="B134" s="60" t="s">
        <v>482</v>
      </c>
      <c r="C134" s="43" t="s">
        <v>483</v>
      </c>
      <c r="D134" s="69" t="s">
        <v>484</v>
      </c>
      <c r="E134" s="25" t="s">
        <v>35</v>
      </c>
      <c r="F134" s="69" t="s">
        <v>485</v>
      </c>
      <c r="G134" s="19">
        <f t="shared" si="21"/>
        <v>0</v>
      </c>
      <c r="H134" s="19">
        <f t="shared" si="22"/>
        <v>0</v>
      </c>
      <c r="I134" s="19">
        <f t="shared" si="23"/>
        <v>0</v>
      </c>
      <c r="J134" s="19">
        <f t="shared" si="24"/>
        <v>0</v>
      </c>
      <c r="K134" s="19">
        <f t="shared" si="25"/>
        <v>0</v>
      </c>
      <c r="L134" s="19">
        <v>0</v>
      </c>
      <c r="M134" s="66"/>
      <c r="N134" s="51"/>
      <c r="O134" s="19">
        <v>773</v>
      </c>
      <c r="R134"/>
    </row>
    <row r="135" spans="1:18" s="4" customFormat="1" ht="33.6" x14ac:dyDescent="0.3">
      <c r="A135" s="13" t="s">
        <v>317</v>
      </c>
      <c r="B135" s="60" t="s">
        <v>486</v>
      </c>
      <c r="C135" s="43" t="s">
        <v>487</v>
      </c>
      <c r="D135" s="69" t="s">
        <v>488</v>
      </c>
      <c r="E135" s="25" t="s">
        <v>35</v>
      </c>
      <c r="F135" s="69" t="s">
        <v>489</v>
      </c>
      <c r="G135" s="19">
        <f t="shared" si="21"/>
        <v>0</v>
      </c>
      <c r="H135" s="19">
        <f t="shared" si="22"/>
        <v>0</v>
      </c>
      <c r="I135" s="19">
        <f t="shared" si="23"/>
        <v>0</v>
      </c>
      <c r="J135" s="19">
        <f t="shared" si="24"/>
        <v>0</v>
      </c>
      <c r="K135" s="19">
        <f t="shared" si="25"/>
        <v>0</v>
      </c>
      <c r="L135" s="19">
        <v>0</v>
      </c>
      <c r="M135" s="66"/>
      <c r="N135" s="51"/>
      <c r="O135" s="19">
        <v>318</v>
      </c>
      <c r="R135"/>
    </row>
    <row r="136" spans="1:18" s="4" customFormat="1" ht="33.6" x14ac:dyDescent="0.3">
      <c r="A136" s="13" t="s">
        <v>322</v>
      </c>
      <c r="B136" s="60" t="s">
        <v>490</v>
      </c>
      <c r="C136" s="43" t="s">
        <v>491</v>
      </c>
      <c r="D136" s="69" t="s">
        <v>492</v>
      </c>
      <c r="E136" s="25" t="s">
        <v>35</v>
      </c>
      <c r="F136" s="69" t="s">
        <v>489</v>
      </c>
      <c r="G136" s="19">
        <f t="shared" si="21"/>
        <v>0</v>
      </c>
      <c r="H136" s="19">
        <f t="shared" si="22"/>
        <v>0</v>
      </c>
      <c r="I136" s="19">
        <f t="shared" si="23"/>
        <v>0</v>
      </c>
      <c r="J136" s="19">
        <f t="shared" si="24"/>
        <v>0</v>
      </c>
      <c r="K136" s="19">
        <f t="shared" si="25"/>
        <v>0</v>
      </c>
      <c r="L136" s="19">
        <v>0</v>
      </c>
      <c r="M136" s="66"/>
      <c r="N136" s="51"/>
      <c r="O136" s="19">
        <v>1617</v>
      </c>
      <c r="R136"/>
    </row>
    <row r="137" spans="1:18" s="4" customFormat="1" ht="33.6" x14ac:dyDescent="0.3">
      <c r="A137" s="13" t="s">
        <v>327</v>
      </c>
      <c r="B137" s="60" t="s">
        <v>493</v>
      </c>
      <c r="C137" s="43" t="s">
        <v>494</v>
      </c>
      <c r="D137" s="69" t="s">
        <v>495</v>
      </c>
      <c r="E137" s="25" t="s">
        <v>35</v>
      </c>
      <c r="F137" s="69" t="s">
        <v>496</v>
      </c>
      <c r="G137" s="19">
        <f t="shared" si="21"/>
        <v>0</v>
      </c>
      <c r="H137" s="19">
        <f t="shared" si="22"/>
        <v>0</v>
      </c>
      <c r="I137" s="19">
        <f t="shared" si="23"/>
        <v>0</v>
      </c>
      <c r="J137" s="19">
        <f t="shared" si="24"/>
        <v>0</v>
      </c>
      <c r="K137" s="19">
        <f t="shared" si="25"/>
        <v>0</v>
      </c>
      <c r="L137" s="19">
        <v>0</v>
      </c>
      <c r="M137" s="66"/>
      <c r="N137" s="51"/>
      <c r="O137" s="19">
        <v>220</v>
      </c>
      <c r="R137"/>
    </row>
    <row r="138" spans="1:18" s="4" customFormat="1" ht="50.4" x14ac:dyDescent="0.3">
      <c r="A138" s="13" t="s">
        <v>332</v>
      </c>
      <c r="B138" s="60" t="s">
        <v>497</v>
      </c>
      <c r="C138" s="43" t="s">
        <v>498</v>
      </c>
      <c r="D138" s="69" t="s">
        <v>499</v>
      </c>
      <c r="E138" s="25" t="s">
        <v>35</v>
      </c>
      <c r="F138" s="69" t="s">
        <v>500</v>
      </c>
      <c r="G138" s="19">
        <f t="shared" si="21"/>
        <v>0</v>
      </c>
      <c r="H138" s="19">
        <f t="shared" si="22"/>
        <v>0</v>
      </c>
      <c r="I138" s="19">
        <f t="shared" si="23"/>
        <v>0</v>
      </c>
      <c r="J138" s="19">
        <f t="shared" si="24"/>
        <v>0</v>
      </c>
      <c r="K138" s="19">
        <f t="shared" si="25"/>
        <v>0</v>
      </c>
      <c r="L138" s="19">
        <v>0</v>
      </c>
      <c r="M138" s="66"/>
      <c r="N138" s="51"/>
      <c r="O138" s="19">
        <v>5057</v>
      </c>
      <c r="R138"/>
    </row>
    <row r="139" spans="1:18" s="4" customFormat="1" ht="50.4" x14ac:dyDescent="0.3">
      <c r="A139" s="13" t="s">
        <v>337</v>
      </c>
      <c r="B139" s="60" t="s">
        <v>501</v>
      </c>
      <c r="C139" s="43" t="s">
        <v>502</v>
      </c>
      <c r="D139" s="69" t="s">
        <v>503</v>
      </c>
      <c r="E139" s="25" t="s">
        <v>35</v>
      </c>
      <c r="F139" s="69" t="s">
        <v>504</v>
      </c>
      <c r="G139" s="19">
        <f t="shared" si="21"/>
        <v>22714.989599999997</v>
      </c>
      <c r="H139" s="19">
        <f t="shared" si="22"/>
        <v>2769.6288</v>
      </c>
      <c r="I139" s="19">
        <f t="shared" si="23"/>
        <v>9041.6279999999988</v>
      </c>
      <c r="J139" s="19">
        <f t="shared" si="24"/>
        <v>17101.785599999999</v>
      </c>
      <c r="K139" s="19">
        <f t="shared" si="25"/>
        <v>15575.800800000001</v>
      </c>
      <c r="L139" s="19">
        <v>14797.010760000001</v>
      </c>
      <c r="M139" s="66">
        <v>67224</v>
      </c>
      <c r="N139" s="51"/>
      <c r="O139" s="19">
        <v>849</v>
      </c>
      <c r="R139"/>
    </row>
    <row r="140" spans="1:18" s="4" customFormat="1" ht="50.4" x14ac:dyDescent="0.3">
      <c r="A140" s="13" t="s">
        <v>341</v>
      </c>
      <c r="B140" s="60" t="s">
        <v>505</v>
      </c>
      <c r="C140" s="43" t="s">
        <v>506</v>
      </c>
      <c r="D140" s="69" t="s">
        <v>507</v>
      </c>
      <c r="E140" s="25" t="s">
        <v>35</v>
      </c>
      <c r="F140" s="69" t="s">
        <v>508</v>
      </c>
      <c r="G140" s="19">
        <f t="shared" si="21"/>
        <v>8368.7692999999999</v>
      </c>
      <c r="H140" s="19">
        <f t="shared" si="22"/>
        <v>1020.4004</v>
      </c>
      <c r="I140" s="19">
        <f t="shared" si="23"/>
        <v>3331.1614999999997</v>
      </c>
      <c r="J140" s="19">
        <f t="shared" si="24"/>
        <v>6300.7248</v>
      </c>
      <c r="K140" s="19">
        <f t="shared" si="25"/>
        <v>5738.5139000000008</v>
      </c>
      <c r="L140" s="19">
        <v>5451.5882050000009</v>
      </c>
      <c r="M140" s="66">
        <v>24767</v>
      </c>
      <c r="N140" s="51"/>
      <c r="O140" s="19">
        <v>220</v>
      </c>
      <c r="R140"/>
    </row>
    <row r="141" spans="1:18" s="4" customFormat="1" ht="33.6" x14ac:dyDescent="0.3">
      <c r="A141" s="13" t="s">
        <v>509</v>
      </c>
      <c r="B141" s="60" t="s">
        <v>510</v>
      </c>
      <c r="C141" s="43" t="s">
        <v>511</v>
      </c>
      <c r="D141" s="69" t="s">
        <v>512</v>
      </c>
      <c r="E141" s="25" t="s">
        <v>35</v>
      </c>
      <c r="F141" s="69" t="s">
        <v>513</v>
      </c>
      <c r="G141" s="19">
        <f t="shared" si="21"/>
        <v>0</v>
      </c>
      <c r="H141" s="19">
        <f t="shared" si="22"/>
        <v>0</v>
      </c>
      <c r="I141" s="19">
        <f t="shared" si="23"/>
        <v>0</v>
      </c>
      <c r="J141" s="19">
        <f t="shared" si="24"/>
        <v>0</v>
      </c>
      <c r="K141" s="19">
        <f t="shared" si="25"/>
        <v>0</v>
      </c>
      <c r="L141" s="19">
        <v>0</v>
      </c>
      <c r="M141" s="66"/>
      <c r="N141" s="51"/>
      <c r="O141" s="19">
        <v>144</v>
      </c>
      <c r="R141"/>
    </row>
    <row r="142" spans="1:18" s="4" customFormat="1" ht="50.4" x14ac:dyDescent="0.3">
      <c r="A142" s="13" t="s">
        <v>514</v>
      </c>
      <c r="B142" s="60" t="s">
        <v>515</v>
      </c>
      <c r="C142" s="43" t="s">
        <v>516</v>
      </c>
      <c r="D142" s="69" t="s">
        <v>517</v>
      </c>
      <c r="E142" s="25" t="s">
        <v>35</v>
      </c>
      <c r="F142" s="69" t="s">
        <v>518</v>
      </c>
      <c r="G142" s="19">
        <f t="shared" si="21"/>
        <v>0</v>
      </c>
      <c r="H142" s="19">
        <f t="shared" si="22"/>
        <v>0</v>
      </c>
      <c r="I142" s="19">
        <f t="shared" si="23"/>
        <v>0</v>
      </c>
      <c r="J142" s="19">
        <f t="shared" si="24"/>
        <v>0</v>
      </c>
      <c r="K142" s="19">
        <f t="shared" si="25"/>
        <v>0</v>
      </c>
      <c r="L142" s="19">
        <v>0</v>
      </c>
      <c r="M142" s="66"/>
      <c r="N142" s="51"/>
      <c r="O142" s="19">
        <v>166</v>
      </c>
      <c r="R142"/>
    </row>
    <row r="143" spans="1:18" s="4" customFormat="1" ht="33.6" x14ac:dyDescent="0.3">
      <c r="A143" s="13" t="s">
        <v>519</v>
      </c>
      <c r="B143" s="60" t="s">
        <v>520</v>
      </c>
      <c r="C143" s="43" t="s">
        <v>521</v>
      </c>
      <c r="D143" s="69" t="s">
        <v>522</v>
      </c>
      <c r="E143" s="25" t="s">
        <v>35</v>
      </c>
      <c r="F143" s="69" t="s">
        <v>523</v>
      </c>
      <c r="G143" s="19">
        <f t="shared" si="21"/>
        <v>0</v>
      </c>
      <c r="H143" s="19">
        <f t="shared" si="22"/>
        <v>0</v>
      </c>
      <c r="I143" s="19">
        <f t="shared" si="23"/>
        <v>0</v>
      </c>
      <c r="J143" s="19">
        <f t="shared" si="24"/>
        <v>0</v>
      </c>
      <c r="K143" s="19">
        <f t="shared" si="25"/>
        <v>0</v>
      </c>
      <c r="L143" s="19">
        <v>0</v>
      </c>
      <c r="M143" s="66"/>
      <c r="N143" s="51"/>
      <c r="O143" s="19">
        <v>407</v>
      </c>
      <c r="R143"/>
    </row>
    <row r="144" spans="1:18" s="4" customFormat="1" ht="33.6" x14ac:dyDescent="0.3">
      <c r="A144" s="13" t="s">
        <v>524</v>
      </c>
      <c r="B144" s="60" t="s">
        <v>525</v>
      </c>
      <c r="C144" s="43" t="s">
        <v>526</v>
      </c>
      <c r="D144" s="69" t="s">
        <v>527</v>
      </c>
      <c r="E144" s="25" t="s">
        <v>35</v>
      </c>
      <c r="F144" s="69" t="s">
        <v>528</v>
      </c>
      <c r="G144" s="19">
        <f t="shared" si="21"/>
        <v>0</v>
      </c>
      <c r="H144" s="19">
        <f t="shared" si="22"/>
        <v>0</v>
      </c>
      <c r="I144" s="19">
        <f t="shared" si="23"/>
        <v>0</v>
      </c>
      <c r="J144" s="19">
        <f t="shared" si="24"/>
        <v>0</v>
      </c>
      <c r="K144" s="19">
        <f t="shared" si="25"/>
        <v>0</v>
      </c>
      <c r="L144" s="19">
        <v>0</v>
      </c>
      <c r="M144" s="66"/>
      <c r="N144" s="51"/>
      <c r="O144" s="19">
        <v>270</v>
      </c>
      <c r="R144"/>
    </row>
    <row r="145" spans="1:18" s="4" customFormat="1" ht="50.4" x14ac:dyDescent="0.3">
      <c r="A145" s="13" t="s">
        <v>529</v>
      </c>
      <c r="B145" s="60" t="s">
        <v>530</v>
      </c>
      <c r="C145" s="43" t="s">
        <v>531</v>
      </c>
      <c r="D145" s="69" t="s">
        <v>532</v>
      </c>
      <c r="E145" s="25" t="s">
        <v>35</v>
      </c>
      <c r="F145" s="69" t="s">
        <v>533</v>
      </c>
      <c r="G145" s="19">
        <f t="shared" si="21"/>
        <v>0</v>
      </c>
      <c r="H145" s="19">
        <f t="shared" si="22"/>
        <v>0</v>
      </c>
      <c r="I145" s="19">
        <f t="shared" si="23"/>
        <v>0</v>
      </c>
      <c r="J145" s="19">
        <f t="shared" si="24"/>
        <v>0</v>
      </c>
      <c r="K145" s="19">
        <f t="shared" si="25"/>
        <v>0</v>
      </c>
      <c r="L145" s="19">
        <v>0</v>
      </c>
      <c r="M145" s="66"/>
      <c r="N145" s="51"/>
      <c r="O145" s="19">
        <v>839</v>
      </c>
      <c r="R145"/>
    </row>
    <row r="146" spans="1:18" s="4" customFormat="1" ht="50.4" x14ac:dyDescent="0.3">
      <c r="A146" s="13" t="s">
        <v>534</v>
      </c>
      <c r="B146" s="60" t="s">
        <v>535</v>
      </c>
      <c r="C146" s="43" t="s">
        <v>536</v>
      </c>
      <c r="D146" s="69" t="s">
        <v>537</v>
      </c>
      <c r="E146" s="25" t="s">
        <v>35</v>
      </c>
      <c r="F146" s="69" t="s">
        <v>538</v>
      </c>
      <c r="G146" s="19">
        <f t="shared" si="21"/>
        <v>0</v>
      </c>
      <c r="H146" s="19">
        <f t="shared" si="22"/>
        <v>0</v>
      </c>
      <c r="I146" s="19">
        <f t="shared" si="23"/>
        <v>0</v>
      </c>
      <c r="J146" s="19">
        <f t="shared" si="24"/>
        <v>0</v>
      </c>
      <c r="K146" s="19">
        <f t="shared" si="25"/>
        <v>0</v>
      </c>
      <c r="L146" s="19">
        <v>0</v>
      </c>
      <c r="M146" s="66"/>
      <c r="N146" s="51"/>
      <c r="O146" s="19">
        <v>523</v>
      </c>
      <c r="R146"/>
    </row>
    <row r="147" spans="1:18" ht="59.25" customHeight="1" x14ac:dyDescent="0.3">
      <c r="A147" s="13" t="s">
        <v>539</v>
      </c>
      <c r="B147" s="74" t="s">
        <v>540</v>
      </c>
      <c r="C147" s="43">
        <v>79597</v>
      </c>
      <c r="D147" s="57" t="s">
        <v>541</v>
      </c>
      <c r="E147" s="25" t="s">
        <v>35</v>
      </c>
      <c r="F147" s="45" t="s">
        <v>542</v>
      </c>
      <c r="G147" s="32"/>
      <c r="H147" s="32"/>
      <c r="I147" s="32"/>
      <c r="J147" s="32"/>
      <c r="K147" s="32"/>
      <c r="L147" s="32"/>
      <c r="M147" s="30"/>
      <c r="N147" s="78"/>
      <c r="O147" s="32"/>
      <c r="P147" s="32"/>
      <c r="Q147" s="32"/>
      <c r="R147" s="79"/>
    </row>
    <row r="148" spans="1:18" s="4" customFormat="1" ht="50.4" x14ac:dyDescent="0.3">
      <c r="A148" s="13" t="s">
        <v>543</v>
      </c>
      <c r="B148" s="60" t="s">
        <v>544</v>
      </c>
      <c r="C148" s="43" t="s">
        <v>545</v>
      </c>
      <c r="D148" s="69" t="s">
        <v>546</v>
      </c>
      <c r="E148" s="25" t="s">
        <v>35</v>
      </c>
      <c r="F148" s="69" t="s">
        <v>538</v>
      </c>
      <c r="G148" s="19">
        <f t="shared" si="21"/>
        <v>0</v>
      </c>
      <c r="H148" s="19">
        <f t="shared" si="22"/>
        <v>0</v>
      </c>
      <c r="I148" s="19">
        <f t="shared" si="23"/>
        <v>0</v>
      </c>
      <c r="J148" s="19">
        <f t="shared" si="24"/>
        <v>0</v>
      </c>
      <c r="K148" s="19">
        <f t="shared" si="25"/>
        <v>0</v>
      </c>
      <c r="L148" s="19">
        <v>0</v>
      </c>
      <c r="M148" s="66"/>
      <c r="N148" s="51"/>
      <c r="O148" s="19">
        <v>526</v>
      </c>
      <c r="R148"/>
    </row>
    <row r="149" spans="1:18" s="4" customFormat="1" ht="33.6" x14ac:dyDescent="0.3">
      <c r="A149" s="13" t="s">
        <v>547</v>
      </c>
      <c r="B149" s="60" t="s">
        <v>548</v>
      </c>
      <c r="C149" s="43" t="s">
        <v>549</v>
      </c>
      <c r="D149" s="69" t="s">
        <v>550</v>
      </c>
      <c r="E149" s="25" t="s">
        <v>35</v>
      </c>
      <c r="F149" s="69" t="s">
        <v>551</v>
      </c>
      <c r="G149" s="19">
        <f t="shared" si="21"/>
        <v>5977.451</v>
      </c>
      <c r="H149" s="19">
        <f t="shared" si="22"/>
        <v>728.82799999999997</v>
      </c>
      <c r="I149" s="19">
        <f t="shared" si="23"/>
        <v>2379.3049999999998</v>
      </c>
      <c r="J149" s="19">
        <f t="shared" si="24"/>
        <v>4500.3360000000002</v>
      </c>
      <c r="K149" s="19">
        <f t="shared" si="25"/>
        <v>4098.7730000000001</v>
      </c>
      <c r="L149" s="19">
        <v>3893.8343500000001</v>
      </c>
      <c r="M149" s="66">
        <v>17690</v>
      </c>
      <c r="N149" s="51"/>
      <c r="O149" s="19">
        <v>174</v>
      </c>
      <c r="R149"/>
    </row>
    <row r="150" spans="1:18" s="4" customFormat="1" ht="33.6" x14ac:dyDescent="0.3">
      <c r="A150" s="13" t="s">
        <v>552</v>
      </c>
      <c r="B150" s="60" t="s">
        <v>553</v>
      </c>
      <c r="C150" s="43" t="s">
        <v>554</v>
      </c>
      <c r="D150" s="69" t="s">
        <v>555</v>
      </c>
      <c r="E150" s="25" t="s">
        <v>35</v>
      </c>
      <c r="F150" s="69" t="s">
        <v>556</v>
      </c>
      <c r="G150" s="19">
        <f t="shared" si="21"/>
        <v>0</v>
      </c>
      <c r="H150" s="19">
        <f t="shared" si="22"/>
        <v>0</v>
      </c>
      <c r="I150" s="19">
        <f t="shared" si="23"/>
        <v>0</v>
      </c>
      <c r="J150" s="19">
        <f t="shared" si="24"/>
        <v>0</v>
      </c>
      <c r="K150" s="19">
        <f t="shared" si="25"/>
        <v>0</v>
      </c>
      <c r="L150" s="19">
        <v>0</v>
      </c>
      <c r="M150" s="66"/>
      <c r="N150" s="51"/>
      <c r="O150" s="19">
        <v>131</v>
      </c>
      <c r="R150"/>
    </row>
    <row r="151" spans="1:18" s="4" customFormat="1" ht="33.6" x14ac:dyDescent="0.3">
      <c r="A151" s="13" t="s">
        <v>557</v>
      </c>
      <c r="B151" s="60" t="s">
        <v>558</v>
      </c>
      <c r="C151" s="43" t="s">
        <v>559</v>
      </c>
      <c r="D151" s="69" t="s">
        <v>560</v>
      </c>
      <c r="E151" s="25" t="s">
        <v>35</v>
      </c>
      <c r="F151" s="69" t="s">
        <v>513</v>
      </c>
      <c r="G151" s="19">
        <f t="shared" si="21"/>
        <v>0</v>
      </c>
      <c r="H151" s="19">
        <f t="shared" si="22"/>
        <v>0</v>
      </c>
      <c r="I151" s="19">
        <f t="shared" si="23"/>
        <v>0</v>
      </c>
      <c r="J151" s="19">
        <f t="shared" si="24"/>
        <v>0</v>
      </c>
      <c r="K151" s="19">
        <f t="shared" si="25"/>
        <v>0</v>
      </c>
      <c r="L151" s="19">
        <v>0</v>
      </c>
      <c r="M151" s="66"/>
      <c r="N151" s="51"/>
      <c r="O151" s="19">
        <v>8173</v>
      </c>
      <c r="R151"/>
    </row>
    <row r="152" spans="1:18" s="4" customFormat="1" ht="50.4" x14ac:dyDescent="0.3">
      <c r="A152" s="13" t="s">
        <v>561</v>
      </c>
      <c r="B152" s="60" t="s">
        <v>562</v>
      </c>
      <c r="C152" s="43" t="s">
        <v>563</v>
      </c>
      <c r="D152" s="69" t="s">
        <v>564</v>
      </c>
      <c r="E152" s="25" t="s">
        <v>35</v>
      </c>
      <c r="F152" s="69" t="s">
        <v>565</v>
      </c>
      <c r="G152" s="19">
        <f t="shared" si="21"/>
        <v>0</v>
      </c>
      <c r="H152" s="19">
        <f t="shared" si="22"/>
        <v>0</v>
      </c>
      <c r="I152" s="19">
        <f t="shared" si="23"/>
        <v>0</v>
      </c>
      <c r="J152" s="19">
        <f t="shared" si="24"/>
        <v>0</v>
      </c>
      <c r="K152" s="19">
        <f t="shared" si="25"/>
        <v>0</v>
      </c>
      <c r="L152" s="19">
        <v>0</v>
      </c>
      <c r="M152" s="66"/>
      <c r="N152" s="51"/>
      <c r="O152" s="19">
        <v>58</v>
      </c>
      <c r="R152"/>
    </row>
    <row r="153" spans="1:18" s="4" customFormat="1" ht="33.6" x14ac:dyDescent="0.3">
      <c r="A153" s="13" t="s">
        <v>566</v>
      </c>
      <c r="B153" s="60" t="s">
        <v>567</v>
      </c>
      <c r="C153" s="43" t="s">
        <v>568</v>
      </c>
      <c r="D153" s="69" t="s">
        <v>569</v>
      </c>
      <c r="E153" s="25" t="s">
        <v>35</v>
      </c>
      <c r="F153" s="69" t="s">
        <v>570</v>
      </c>
      <c r="G153" s="19">
        <f t="shared" si="21"/>
        <v>14858.476699999999</v>
      </c>
      <c r="H153" s="19">
        <f t="shared" si="22"/>
        <v>1811.6876</v>
      </c>
      <c r="I153" s="19">
        <f t="shared" si="23"/>
        <v>5914.3684999999996</v>
      </c>
      <c r="J153" s="19">
        <f t="shared" si="24"/>
        <v>11186.7312</v>
      </c>
      <c r="K153" s="19">
        <f t="shared" si="25"/>
        <v>10188.544100000001</v>
      </c>
      <c r="L153" s="19">
        <v>9679.116895000001</v>
      </c>
      <c r="M153" s="66">
        <v>43973</v>
      </c>
      <c r="N153" s="51"/>
      <c r="O153" s="19">
        <v>635</v>
      </c>
      <c r="R153"/>
    </row>
    <row r="154" spans="1:18" s="4" customFormat="1" ht="33.6" x14ac:dyDescent="0.3">
      <c r="A154" s="13" t="s">
        <v>571</v>
      </c>
      <c r="B154" s="60" t="s">
        <v>572</v>
      </c>
      <c r="C154" s="43" t="s">
        <v>573</v>
      </c>
      <c r="D154" s="69" t="s">
        <v>574</v>
      </c>
      <c r="E154" s="25" t="s">
        <v>35</v>
      </c>
      <c r="F154" s="69" t="s">
        <v>575</v>
      </c>
      <c r="G154" s="19">
        <f t="shared" si="21"/>
        <v>0</v>
      </c>
      <c r="H154" s="19">
        <f t="shared" si="22"/>
        <v>0</v>
      </c>
      <c r="I154" s="19">
        <f t="shared" si="23"/>
        <v>0</v>
      </c>
      <c r="J154" s="19">
        <f t="shared" si="24"/>
        <v>0</v>
      </c>
      <c r="K154" s="19">
        <f t="shared" si="25"/>
        <v>0</v>
      </c>
      <c r="L154" s="19">
        <v>0</v>
      </c>
      <c r="M154" s="66"/>
      <c r="N154" s="51"/>
      <c r="O154" s="19">
        <v>234</v>
      </c>
      <c r="R154"/>
    </row>
    <row r="155" spans="1:18" s="4" customFormat="1" ht="33.6" x14ac:dyDescent="0.3">
      <c r="A155" s="13" t="s">
        <v>576</v>
      </c>
      <c r="B155" s="60" t="s">
        <v>577</v>
      </c>
      <c r="C155" s="86" t="s">
        <v>578</v>
      </c>
      <c r="D155" s="69" t="s">
        <v>579</v>
      </c>
      <c r="E155" s="25" t="s">
        <v>35</v>
      </c>
      <c r="F155" s="69" t="s">
        <v>580</v>
      </c>
      <c r="G155" s="19">
        <f t="shared" si="21"/>
        <v>13150.730099999999</v>
      </c>
      <c r="H155" s="19">
        <f t="shared" si="22"/>
        <v>1603.4628</v>
      </c>
      <c r="I155" s="19">
        <f t="shared" si="23"/>
        <v>5234.6054999999997</v>
      </c>
      <c r="J155" s="19">
        <f t="shared" si="24"/>
        <v>9900.9935999999998</v>
      </c>
      <c r="K155" s="19">
        <f t="shared" si="25"/>
        <v>9017.5323000000008</v>
      </c>
      <c r="L155" s="19">
        <v>8566.6556849999997</v>
      </c>
      <c r="M155" s="66">
        <v>38919</v>
      </c>
      <c r="N155" s="51"/>
      <c r="O155" s="19">
        <v>40</v>
      </c>
      <c r="R155"/>
    </row>
    <row r="156" spans="1:18" s="4" customFormat="1" ht="33.6" x14ac:dyDescent="0.3">
      <c r="A156" s="13" t="s">
        <v>581</v>
      </c>
      <c r="B156" s="60" t="s">
        <v>582</v>
      </c>
      <c r="C156" s="43" t="s">
        <v>583</v>
      </c>
      <c r="D156" s="69" t="s">
        <v>584</v>
      </c>
      <c r="E156" s="25" t="s">
        <v>35</v>
      </c>
      <c r="F156" s="69" t="s">
        <v>570</v>
      </c>
      <c r="G156" s="19">
        <f t="shared" si="21"/>
        <v>0</v>
      </c>
      <c r="H156" s="19">
        <f t="shared" si="22"/>
        <v>0</v>
      </c>
      <c r="I156" s="19">
        <f t="shared" si="23"/>
        <v>0</v>
      </c>
      <c r="J156" s="19">
        <f t="shared" si="24"/>
        <v>0</v>
      </c>
      <c r="K156" s="19">
        <f t="shared" si="25"/>
        <v>0</v>
      </c>
      <c r="L156" s="19">
        <v>0</v>
      </c>
      <c r="M156" s="66"/>
      <c r="N156" s="51"/>
      <c r="O156" s="19">
        <v>1425</v>
      </c>
      <c r="R156"/>
    </row>
    <row r="157" spans="1:18" s="4" customFormat="1" ht="67.2" x14ac:dyDescent="0.3">
      <c r="A157" s="13" t="s">
        <v>585</v>
      </c>
      <c r="B157" s="60" t="s">
        <v>586</v>
      </c>
      <c r="C157" s="43" t="s">
        <v>587</v>
      </c>
      <c r="D157" s="69" t="s">
        <v>588</v>
      </c>
      <c r="E157" s="25" t="s">
        <v>35</v>
      </c>
      <c r="F157" s="69" t="s">
        <v>589</v>
      </c>
      <c r="G157" s="19">
        <f t="shared" si="21"/>
        <v>0</v>
      </c>
      <c r="H157" s="19">
        <f t="shared" si="22"/>
        <v>0</v>
      </c>
      <c r="I157" s="19">
        <f t="shared" si="23"/>
        <v>0</v>
      </c>
      <c r="J157" s="19">
        <f t="shared" si="24"/>
        <v>0</v>
      </c>
      <c r="K157" s="19">
        <f t="shared" si="25"/>
        <v>0</v>
      </c>
      <c r="L157" s="19">
        <v>0</v>
      </c>
      <c r="M157" s="66"/>
      <c r="N157" s="51"/>
      <c r="O157" s="19">
        <v>62</v>
      </c>
      <c r="R157"/>
    </row>
    <row r="158" spans="1:18" s="4" customFormat="1" ht="33.6" x14ac:dyDescent="0.3">
      <c r="A158" s="13" t="s">
        <v>590</v>
      </c>
      <c r="B158" s="60" t="s">
        <v>591</v>
      </c>
      <c r="C158" s="43" t="s">
        <v>592</v>
      </c>
      <c r="D158" s="69" t="s">
        <v>593</v>
      </c>
      <c r="E158" s="25" t="s">
        <v>35</v>
      </c>
      <c r="F158" s="69" t="s">
        <v>580</v>
      </c>
      <c r="G158" s="19">
        <f t="shared" si="21"/>
        <v>0</v>
      </c>
      <c r="H158" s="19">
        <f t="shared" si="22"/>
        <v>0</v>
      </c>
      <c r="I158" s="19">
        <f t="shared" si="23"/>
        <v>0</v>
      </c>
      <c r="J158" s="19">
        <f t="shared" si="24"/>
        <v>0</v>
      </c>
      <c r="K158" s="19">
        <f t="shared" si="25"/>
        <v>0</v>
      </c>
      <c r="L158" s="19">
        <v>0</v>
      </c>
      <c r="M158" s="66"/>
      <c r="N158" s="51"/>
      <c r="O158" s="19">
        <v>303</v>
      </c>
      <c r="R158"/>
    </row>
    <row r="159" spans="1:18" s="4" customFormat="1" ht="36" customHeight="1" x14ac:dyDescent="0.3">
      <c r="A159" s="13" t="s">
        <v>594</v>
      </c>
      <c r="B159" s="87" t="s">
        <v>595</v>
      </c>
      <c r="C159" s="88" t="s">
        <v>596</v>
      </c>
      <c r="D159" s="69" t="s">
        <v>597</v>
      </c>
      <c r="E159" s="25" t="s">
        <v>35</v>
      </c>
      <c r="F159" s="69" t="s">
        <v>598</v>
      </c>
      <c r="G159" s="19">
        <f t="shared" si="21"/>
        <v>0</v>
      </c>
      <c r="H159" s="19">
        <f t="shared" si="22"/>
        <v>0</v>
      </c>
      <c r="I159" s="19">
        <f t="shared" si="23"/>
        <v>0</v>
      </c>
      <c r="J159" s="19">
        <f t="shared" si="24"/>
        <v>0</v>
      </c>
      <c r="K159" s="19">
        <f t="shared" si="25"/>
        <v>0</v>
      </c>
      <c r="L159" s="19">
        <v>0</v>
      </c>
      <c r="M159" s="66"/>
      <c r="N159" s="51"/>
      <c r="O159" s="19">
        <v>108</v>
      </c>
      <c r="R159"/>
    </row>
    <row r="160" spans="1:18" s="4" customFormat="1" ht="39" customHeight="1" x14ac:dyDescent="0.3">
      <c r="A160" s="13" t="s">
        <v>599</v>
      </c>
      <c r="B160" s="74" t="s">
        <v>600</v>
      </c>
      <c r="C160" s="75">
        <v>79547</v>
      </c>
      <c r="D160" s="69" t="s">
        <v>601</v>
      </c>
      <c r="E160" s="25" t="s">
        <v>35</v>
      </c>
      <c r="F160" s="89" t="s">
        <v>602</v>
      </c>
      <c r="G160" s="19">
        <f t="shared" si="21"/>
        <v>0</v>
      </c>
      <c r="H160" s="19">
        <f t="shared" si="22"/>
        <v>0</v>
      </c>
      <c r="I160" s="19">
        <f t="shared" si="23"/>
        <v>0</v>
      </c>
      <c r="J160" s="19">
        <f t="shared" si="24"/>
        <v>0</v>
      </c>
      <c r="K160" s="19">
        <f t="shared" si="25"/>
        <v>0</v>
      </c>
      <c r="L160" s="19">
        <v>0</v>
      </c>
      <c r="M160" s="66"/>
      <c r="N160" s="51"/>
      <c r="O160" s="19">
        <v>235</v>
      </c>
      <c r="R160"/>
    </row>
    <row r="161" spans="1:18" s="4" customFormat="1" ht="36" customHeight="1" x14ac:dyDescent="0.3">
      <c r="A161" s="13" t="s">
        <v>603</v>
      </c>
      <c r="B161" s="74" t="s">
        <v>604</v>
      </c>
      <c r="C161" s="75">
        <v>79549</v>
      </c>
      <c r="D161" s="69" t="s">
        <v>605</v>
      </c>
      <c r="E161" s="25" t="s">
        <v>35</v>
      </c>
      <c r="F161" s="89" t="s">
        <v>606</v>
      </c>
      <c r="G161" s="19">
        <f t="shared" si="21"/>
        <v>23568.8629</v>
      </c>
      <c r="H161" s="19">
        <f t="shared" si="22"/>
        <v>2873.7411999999999</v>
      </c>
      <c r="I161" s="19">
        <f t="shared" si="23"/>
        <v>9381.5094999999983</v>
      </c>
      <c r="J161" s="19">
        <f t="shared" si="24"/>
        <v>17744.654399999999</v>
      </c>
      <c r="K161" s="19">
        <f t="shared" si="25"/>
        <v>16161.306700000001</v>
      </c>
      <c r="L161" s="19">
        <v>15353.241365</v>
      </c>
      <c r="M161" s="66">
        <v>69751</v>
      </c>
      <c r="N161" s="51"/>
      <c r="O161" s="19">
        <v>126</v>
      </c>
      <c r="R161"/>
    </row>
    <row r="162" spans="1:18" s="4" customFormat="1" ht="56.25" customHeight="1" x14ac:dyDescent="0.3">
      <c r="A162" s="13" t="s">
        <v>607</v>
      </c>
      <c r="B162" s="74" t="s">
        <v>608</v>
      </c>
      <c r="C162" s="75">
        <v>79564</v>
      </c>
      <c r="D162" s="69" t="s">
        <v>609</v>
      </c>
      <c r="E162" s="25" t="s">
        <v>35</v>
      </c>
      <c r="F162" s="89" t="s">
        <v>610</v>
      </c>
      <c r="G162" s="19">
        <f t="shared" si="21"/>
        <v>0</v>
      </c>
      <c r="H162" s="19">
        <f t="shared" si="22"/>
        <v>0</v>
      </c>
      <c r="I162" s="19">
        <f t="shared" si="23"/>
        <v>0</v>
      </c>
      <c r="J162" s="19">
        <f t="shared" si="24"/>
        <v>0</v>
      </c>
      <c r="K162" s="19">
        <f t="shared" si="25"/>
        <v>0</v>
      </c>
      <c r="L162" s="19">
        <v>0</v>
      </c>
      <c r="M162" s="66"/>
      <c r="N162" s="51"/>
      <c r="O162" s="19">
        <v>32</v>
      </c>
      <c r="R162"/>
    </row>
    <row r="163" spans="1:18" s="4" customFormat="1" ht="50.4" customHeight="1" x14ac:dyDescent="0.3">
      <c r="A163" s="13" t="s">
        <v>611</v>
      </c>
      <c r="B163" s="60" t="s">
        <v>612</v>
      </c>
      <c r="C163" s="75">
        <v>79578</v>
      </c>
      <c r="D163" s="69" t="s">
        <v>613</v>
      </c>
      <c r="E163" s="25" t="s">
        <v>35</v>
      </c>
      <c r="F163" s="89" t="s">
        <v>614</v>
      </c>
      <c r="G163" s="19">
        <f t="shared" si="21"/>
        <v>0</v>
      </c>
      <c r="H163" s="19">
        <f t="shared" si="22"/>
        <v>0</v>
      </c>
      <c r="I163" s="19">
        <f t="shared" si="23"/>
        <v>0</v>
      </c>
      <c r="J163" s="19">
        <f t="shared" si="24"/>
        <v>0</v>
      </c>
      <c r="K163" s="19">
        <f t="shared" si="25"/>
        <v>0</v>
      </c>
      <c r="L163" s="19">
        <v>0</v>
      </c>
      <c r="M163" s="66"/>
      <c r="N163" s="51"/>
      <c r="O163" s="19">
        <v>13</v>
      </c>
      <c r="R163"/>
    </row>
    <row r="164" spans="1:18" s="4" customFormat="1" ht="37.5" customHeight="1" x14ac:dyDescent="0.3">
      <c r="A164" s="13" t="s">
        <v>615</v>
      </c>
      <c r="B164" s="74" t="s">
        <v>616</v>
      </c>
      <c r="C164" s="88" t="s">
        <v>617</v>
      </c>
      <c r="D164" s="69" t="s">
        <v>618</v>
      </c>
      <c r="E164" s="25" t="s">
        <v>35</v>
      </c>
      <c r="F164" s="89" t="s">
        <v>619</v>
      </c>
      <c r="G164" s="19">
        <f t="shared" si="21"/>
        <v>0</v>
      </c>
      <c r="H164" s="19">
        <f t="shared" si="22"/>
        <v>0</v>
      </c>
      <c r="I164" s="19">
        <f t="shared" si="23"/>
        <v>0</v>
      </c>
      <c r="J164" s="19">
        <f t="shared" si="24"/>
        <v>0</v>
      </c>
      <c r="K164" s="19">
        <f t="shared" si="25"/>
        <v>0</v>
      </c>
      <c r="L164" s="19">
        <v>0</v>
      </c>
      <c r="M164" s="66"/>
      <c r="N164" s="51"/>
      <c r="O164" s="19">
        <v>11</v>
      </c>
      <c r="R164"/>
    </row>
    <row r="165" spans="1:18" s="4" customFormat="1" ht="36" customHeight="1" x14ac:dyDescent="0.3">
      <c r="A165" s="13" t="s">
        <v>620</v>
      </c>
      <c r="B165" s="74" t="s">
        <v>621</v>
      </c>
      <c r="C165" s="43" t="s">
        <v>622</v>
      </c>
      <c r="D165" s="69" t="s">
        <v>623</v>
      </c>
      <c r="E165" s="25" t="s">
        <v>35</v>
      </c>
      <c r="F165" s="89" t="s">
        <v>624</v>
      </c>
      <c r="G165" s="48">
        <f t="shared" si="21"/>
        <v>0</v>
      </c>
      <c r="H165" s="48">
        <f t="shared" si="22"/>
        <v>0</v>
      </c>
      <c r="I165" s="48">
        <f t="shared" si="23"/>
        <v>0</v>
      </c>
      <c r="J165" s="48">
        <f t="shared" si="24"/>
        <v>0</v>
      </c>
      <c r="K165" s="48">
        <f t="shared" si="25"/>
        <v>0</v>
      </c>
      <c r="L165" s="48">
        <v>0</v>
      </c>
      <c r="M165" s="46"/>
      <c r="N165" s="51"/>
      <c r="O165" s="48">
        <v>13</v>
      </c>
      <c r="R165"/>
    </row>
    <row r="166" spans="1:18" s="4" customFormat="1" ht="33.6" x14ac:dyDescent="0.25">
      <c r="A166" s="13" t="s">
        <v>625</v>
      </c>
      <c r="B166" s="87" t="s">
        <v>626</v>
      </c>
      <c r="C166" s="90" t="s">
        <v>627</v>
      </c>
      <c r="D166" s="69" t="s">
        <v>628</v>
      </c>
      <c r="E166" s="25" t="s">
        <v>35</v>
      </c>
      <c r="F166" s="89" t="s">
        <v>624</v>
      </c>
      <c r="G166" s="66"/>
      <c r="H166" s="66"/>
      <c r="I166" s="66"/>
      <c r="J166" s="66"/>
      <c r="K166" s="66"/>
      <c r="L166" s="66">
        <v>0</v>
      </c>
      <c r="M166" s="66"/>
      <c r="N166" s="77"/>
      <c r="O166" s="66">
        <v>74858</v>
      </c>
      <c r="R166"/>
    </row>
    <row r="167" spans="1:18" s="4" customFormat="1" ht="36" x14ac:dyDescent="0.25">
      <c r="A167" s="13" t="s">
        <v>629</v>
      </c>
      <c r="B167" s="91" t="s">
        <v>630</v>
      </c>
      <c r="C167" s="92">
        <v>79425</v>
      </c>
      <c r="D167" s="69" t="s">
        <v>631</v>
      </c>
      <c r="E167" s="25" t="s">
        <v>35</v>
      </c>
      <c r="F167" s="89" t="s">
        <v>632</v>
      </c>
      <c r="G167" s="2"/>
      <c r="H167" s="2"/>
      <c r="I167" s="2"/>
      <c r="J167" s="2"/>
      <c r="K167" s="2"/>
      <c r="L167" s="2"/>
      <c r="M167" s="93"/>
      <c r="N167" s="93"/>
      <c r="O167" s="93"/>
      <c r="R167"/>
    </row>
    <row r="168" spans="1:18" s="4" customFormat="1" ht="56.4" customHeight="1" x14ac:dyDescent="0.25">
      <c r="A168" s="61"/>
      <c r="B168" s="62"/>
      <c r="C168" s="63"/>
      <c r="D168" s="63"/>
      <c r="E168" s="63"/>
      <c r="F168" s="63"/>
      <c r="G168" s="2"/>
      <c r="H168" s="2"/>
      <c r="I168" s="2"/>
      <c r="J168" s="2"/>
      <c r="K168" s="2"/>
      <c r="L168" s="2"/>
      <c r="M168" s="2"/>
      <c r="N168" s="51"/>
      <c r="O168" s="93"/>
      <c r="R168"/>
    </row>
    <row r="169" spans="1:18" s="4" customFormat="1" ht="18" x14ac:dyDescent="0.25">
      <c r="A169" s="100" t="s">
        <v>633</v>
      </c>
      <c r="B169" s="100"/>
      <c r="C169" s="100"/>
      <c r="D169" s="100"/>
      <c r="E169" s="100"/>
      <c r="F169" s="100"/>
      <c r="G169" s="2"/>
      <c r="H169" s="2"/>
      <c r="I169" s="2"/>
      <c r="J169" s="2"/>
      <c r="K169" s="2"/>
      <c r="L169" s="2"/>
      <c r="M169" s="2"/>
      <c r="N169" s="51"/>
      <c r="O169" s="93"/>
      <c r="R169"/>
    </row>
    <row r="170" spans="1:18" s="4" customFormat="1" x14ac:dyDescent="0.25">
      <c r="A170" s="61"/>
      <c r="B170" s="62"/>
      <c r="C170" s="63"/>
      <c r="D170" s="63"/>
      <c r="E170" s="63"/>
      <c r="F170" s="63"/>
      <c r="G170" s="2"/>
      <c r="H170" s="2"/>
      <c r="I170" s="2"/>
      <c r="J170" s="2"/>
      <c r="K170" s="2"/>
      <c r="L170" s="2"/>
      <c r="M170" s="2"/>
      <c r="N170" s="51"/>
      <c r="O170" s="93"/>
      <c r="R170"/>
    </row>
    <row r="171" spans="1:18" s="4" customFormat="1" x14ac:dyDescent="0.25">
      <c r="A171" s="61"/>
      <c r="B171" s="62"/>
      <c r="C171" s="63"/>
      <c r="D171" s="63"/>
      <c r="E171" s="63"/>
      <c r="F171" s="63"/>
      <c r="G171" s="2"/>
      <c r="H171" s="2"/>
      <c r="I171" s="2"/>
      <c r="J171" s="2"/>
      <c r="K171" s="2"/>
      <c r="L171" s="2"/>
      <c r="M171" s="2"/>
      <c r="N171" s="51"/>
      <c r="O171" s="93"/>
      <c r="R171"/>
    </row>
    <row r="172" spans="1:18" s="4" customFormat="1" x14ac:dyDescent="0.25">
      <c r="A172" s="61"/>
      <c r="B172" s="62"/>
      <c r="C172" s="63"/>
      <c r="D172" s="63"/>
      <c r="E172" s="63"/>
      <c r="F172" s="63"/>
      <c r="G172" s="2"/>
      <c r="H172" s="2"/>
      <c r="I172" s="2"/>
      <c r="J172" s="2"/>
      <c r="K172" s="2"/>
      <c r="L172" s="2"/>
      <c r="M172" s="2"/>
      <c r="N172" s="51"/>
      <c r="O172" s="93"/>
      <c r="R172"/>
    </row>
    <row r="173" spans="1:18" s="4" customFormat="1" x14ac:dyDescent="0.25">
      <c r="A173" s="61"/>
      <c r="B173" s="62"/>
      <c r="C173" s="63"/>
      <c r="D173" s="63"/>
      <c r="E173" s="63"/>
      <c r="F173" s="63"/>
      <c r="G173" s="2"/>
      <c r="H173" s="2"/>
      <c r="I173" s="2"/>
      <c r="J173" s="2"/>
      <c r="K173" s="2"/>
      <c r="L173" s="2"/>
      <c r="M173" s="2"/>
      <c r="N173" s="51"/>
      <c r="O173" s="93"/>
      <c r="R173"/>
    </row>
    <row r="174" spans="1:18" s="4" customFormat="1" x14ac:dyDescent="0.25">
      <c r="A174" s="61"/>
      <c r="B174" s="62"/>
      <c r="C174" s="63"/>
      <c r="D174" s="63"/>
      <c r="E174" s="63"/>
      <c r="F174" s="63"/>
      <c r="G174" s="2"/>
      <c r="H174" s="2"/>
      <c r="I174" s="2"/>
      <c r="J174" s="2"/>
      <c r="K174" s="2"/>
      <c r="L174" s="2"/>
      <c r="M174" s="2"/>
      <c r="N174" s="51"/>
      <c r="O174" s="93"/>
      <c r="R174"/>
    </row>
    <row r="175" spans="1:18" s="4" customFormat="1" x14ac:dyDescent="0.25">
      <c r="A175" s="61"/>
      <c r="B175" s="62"/>
      <c r="C175" s="63"/>
      <c r="D175" s="63"/>
      <c r="E175" s="63"/>
      <c r="F175" s="63"/>
      <c r="G175" s="2"/>
      <c r="H175" s="2"/>
      <c r="I175" s="2"/>
      <c r="J175" s="2"/>
      <c r="K175" s="2"/>
      <c r="L175" s="2"/>
      <c r="M175" s="2"/>
      <c r="N175" s="51"/>
      <c r="O175" s="93"/>
      <c r="R175"/>
    </row>
    <row r="176" spans="1:18" s="4" customFormat="1" x14ac:dyDescent="0.25">
      <c r="A176" s="61"/>
      <c r="B176" s="62"/>
      <c r="C176" s="63"/>
      <c r="D176" s="63"/>
      <c r="E176" s="63"/>
      <c r="F176" s="63"/>
      <c r="G176" s="2"/>
      <c r="H176" s="2"/>
      <c r="I176" s="2"/>
      <c r="J176" s="2"/>
      <c r="K176" s="2"/>
      <c r="L176" s="2"/>
      <c r="M176" s="2"/>
      <c r="N176" s="51"/>
      <c r="O176" s="93"/>
      <c r="R176"/>
    </row>
    <row r="177" spans="1:18" s="4" customFormat="1" x14ac:dyDescent="0.25">
      <c r="A177" s="61"/>
      <c r="B177" s="62"/>
      <c r="C177" s="63"/>
      <c r="D177" s="63"/>
      <c r="E177" s="63"/>
      <c r="F177" s="63"/>
      <c r="G177" s="2"/>
      <c r="H177" s="2"/>
      <c r="I177" s="2"/>
      <c r="J177" s="2"/>
      <c r="K177" s="2"/>
      <c r="L177" s="2"/>
      <c r="M177" s="2"/>
      <c r="N177" s="51"/>
      <c r="O177" s="93"/>
      <c r="R177"/>
    </row>
  </sheetData>
  <mergeCells count="65">
    <mergeCell ref="A9:A10"/>
    <mergeCell ref="B9:B10"/>
    <mergeCell ref="C9:C10"/>
    <mergeCell ref="D9:D10"/>
    <mergeCell ref="E9:E10"/>
    <mergeCell ref="A1:B1"/>
    <mergeCell ref="A2:B2"/>
    <mergeCell ref="A4:R4"/>
    <mergeCell ref="A5:M5"/>
    <mergeCell ref="A6:F6"/>
    <mergeCell ref="Q9:Q10"/>
    <mergeCell ref="R9:R10"/>
    <mergeCell ref="A16:A17"/>
    <mergeCell ref="B16:B17"/>
    <mergeCell ref="C16:C17"/>
    <mergeCell ref="D16:D17"/>
    <mergeCell ref="E16:E17"/>
    <mergeCell ref="F16:F17"/>
    <mergeCell ref="G16:L16"/>
    <mergeCell ref="M16:M17"/>
    <mergeCell ref="F9:F10"/>
    <mergeCell ref="G9:L9"/>
    <mergeCell ref="M9:M10"/>
    <mergeCell ref="N9:N10"/>
    <mergeCell ref="O9:O10"/>
    <mergeCell ref="P9:P10"/>
    <mergeCell ref="A35:A36"/>
    <mergeCell ref="B35:B36"/>
    <mergeCell ref="C35:C36"/>
    <mergeCell ref="D35:D36"/>
    <mergeCell ref="E35:E36"/>
    <mergeCell ref="N16:N17"/>
    <mergeCell ref="O16:O17"/>
    <mergeCell ref="P16:P17"/>
    <mergeCell ref="Q16:Q17"/>
    <mergeCell ref="R16:R17"/>
    <mergeCell ref="R35:R36"/>
    <mergeCell ref="A43:A44"/>
    <mergeCell ref="B43:B44"/>
    <mergeCell ref="C43:C44"/>
    <mergeCell ref="D43:D44"/>
    <mergeCell ref="E43:E44"/>
    <mergeCell ref="F43:F44"/>
    <mergeCell ref="G43:L43"/>
    <mergeCell ref="M43:M44"/>
    <mergeCell ref="O43:O44"/>
    <mergeCell ref="F35:F36"/>
    <mergeCell ref="G35:L35"/>
    <mergeCell ref="M35:M36"/>
    <mergeCell ref="O35:O36"/>
    <mergeCell ref="P35:P36"/>
    <mergeCell ref="Q35:Q36"/>
    <mergeCell ref="A169:F169"/>
    <mergeCell ref="P43:P44"/>
    <mergeCell ref="Q43:Q44"/>
    <mergeCell ref="R43:R44"/>
    <mergeCell ref="A93:A94"/>
    <mergeCell ref="B93:B94"/>
    <mergeCell ref="C93:C94"/>
    <mergeCell ref="D93:D94"/>
    <mergeCell ref="E93:E94"/>
    <mergeCell ref="F93:F94"/>
    <mergeCell ref="G93:L93"/>
    <mergeCell ref="M93:M94"/>
    <mergeCell ref="O93:O94"/>
  </mergeCells>
  <conditionalFormatting sqref="F48:F49">
    <cfRule type="expression" dxfId="1" priority="2" stopIfTrue="1">
      <formula>RIGHT(F48,LEN("Không"))="Không"</formula>
    </cfRule>
  </conditionalFormatting>
  <conditionalFormatting sqref="V48:V49">
    <cfRule type="expression" dxfId="0" priority="1" stopIfTrue="1">
      <formula>RIGHT(V48,LEN("Không"))="Không"</formula>
    </cfRule>
  </conditionalFormatting>
  <printOptions horizontalCentered="1"/>
  <pageMargins left="0" right="0" top="0" bottom="0" header="0.3" footer="0.3"/>
  <pageSetup paperSize="9" scale="82"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DS KCB Q3 2019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Pham Van Hiep</dc:creator>
  <cp:lastModifiedBy>Pham Van Hiep</cp:lastModifiedBy>
  <cp:lastPrinted>2019-06-07T07:15:50Z</cp:lastPrinted>
  <dcterms:created xsi:type="dcterms:W3CDTF">2019-05-31T09:10:34Z</dcterms:created>
  <dcterms:modified xsi:type="dcterms:W3CDTF">2019-06-17T08:45:33Z</dcterms:modified>
</cp:coreProperties>
</file>